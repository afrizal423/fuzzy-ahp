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TM Case Study AAdhar\"/>
    </mc:Choice>
  </mc:AlternateContent>
  <bookViews>
    <workbookView xWindow="0" yWindow="0" windowWidth="23040" windowHeight="9972"/>
  </bookViews>
  <sheets>
    <sheet name="AHP" sheetId="1" r:id="rId1"/>
    <sheet name="Fuzzy AHP" sheetId="3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92" i="3" l="1"/>
  <c r="P191" i="3"/>
  <c r="P190" i="3"/>
  <c r="P189" i="3"/>
  <c r="F192" i="3" s="1"/>
  <c r="P188" i="3"/>
  <c r="O192" i="3"/>
  <c r="O191" i="3"/>
  <c r="O190" i="3"/>
  <c r="J192" i="3" s="1"/>
  <c r="O189" i="3"/>
  <c r="O188" i="3"/>
  <c r="B192" i="3" s="1"/>
  <c r="N192" i="3"/>
  <c r="N191" i="3"/>
  <c r="N190" i="3"/>
  <c r="N189" i="3"/>
  <c r="N188" i="3"/>
  <c r="M191" i="3"/>
  <c r="M190" i="3"/>
  <c r="M189" i="3"/>
  <c r="M188" i="3"/>
  <c r="L192" i="3"/>
  <c r="L191" i="3"/>
  <c r="L190" i="3"/>
  <c r="L189" i="3"/>
  <c r="L188" i="3"/>
  <c r="K191" i="3"/>
  <c r="K190" i="3"/>
  <c r="K189" i="3"/>
  <c r="G191" i="3" s="1"/>
  <c r="K188" i="3"/>
  <c r="C191" i="3" s="1"/>
  <c r="J190" i="3"/>
  <c r="J189" i="3"/>
  <c r="J188" i="3"/>
  <c r="I191" i="3"/>
  <c r="I190" i="3"/>
  <c r="I189" i="3"/>
  <c r="F190" i="3" s="1"/>
  <c r="I188" i="3"/>
  <c r="H190" i="3"/>
  <c r="H189" i="3"/>
  <c r="H188" i="3"/>
  <c r="G189" i="3"/>
  <c r="G188" i="3"/>
  <c r="F189" i="3"/>
  <c r="F188" i="3"/>
  <c r="E191" i="3"/>
  <c r="E189" i="3"/>
  <c r="E188" i="3"/>
  <c r="D188" i="3"/>
  <c r="C188" i="3"/>
  <c r="B190" i="3"/>
  <c r="B188" i="3"/>
  <c r="P158" i="3"/>
  <c r="P157" i="3"/>
  <c r="P156" i="3"/>
  <c r="P155" i="3"/>
  <c r="P154" i="3"/>
  <c r="O158" i="3"/>
  <c r="O157" i="3"/>
  <c r="O156" i="3"/>
  <c r="O155" i="3"/>
  <c r="O154" i="3"/>
  <c r="N158" i="3"/>
  <c r="N157" i="3"/>
  <c r="N156" i="3"/>
  <c r="N155" i="3"/>
  <c r="N154" i="3"/>
  <c r="M157" i="3"/>
  <c r="M156" i="3"/>
  <c r="M155" i="3"/>
  <c r="M154" i="3"/>
  <c r="L157" i="3"/>
  <c r="L156" i="3"/>
  <c r="L155" i="3"/>
  <c r="L154" i="3"/>
  <c r="K157" i="3"/>
  <c r="K156" i="3"/>
  <c r="H157" i="3" s="1"/>
  <c r="K155" i="3"/>
  <c r="G157" i="3" s="1"/>
  <c r="K154" i="3"/>
  <c r="J156" i="3"/>
  <c r="J155" i="3"/>
  <c r="J154" i="3"/>
  <c r="I156" i="3"/>
  <c r="I155" i="3"/>
  <c r="I154" i="3"/>
  <c r="H156" i="3"/>
  <c r="H155" i="3"/>
  <c r="H154" i="3"/>
  <c r="G155" i="3"/>
  <c r="G154" i="3"/>
  <c r="F155" i="3"/>
  <c r="F154" i="3"/>
  <c r="E155" i="3"/>
  <c r="E154" i="3"/>
  <c r="D154" i="3"/>
  <c r="C154" i="3"/>
  <c r="B154" i="3"/>
  <c r="P124" i="3"/>
  <c r="P123" i="3"/>
  <c r="P122" i="3"/>
  <c r="P121" i="3"/>
  <c r="P120" i="3"/>
  <c r="O124" i="3"/>
  <c r="O123" i="3"/>
  <c r="O122" i="3"/>
  <c r="O121" i="3"/>
  <c r="O120" i="3"/>
  <c r="N124" i="3"/>
  <c r="N123" i="3"/>
  <c r="N122" i="3"/>
  <c r="N121" i="3"/>
  <c r="N120" i="3"/>
  <c r="M123" i="3"/>
  <c r="M122" i="3"/>
  <c r="M121" i="3"/>
  <c r="M120" i="3"/>
  <c r="L123" i="3"/>
  <c r="L122" i="3"/>
  <c r="L121" i="3"/>
  <c r="L120" i="3"/>
  <c r="K123" i="3"/>
  <c r="K122" i="3"/>
  <c r="J123" i="3" s="1"/>
  <c r="K121" i="3"/>
  <c r="K120" i="3"/>
  <c r="J122" i="3"/>
  <c r="J121" i="3"/>
  <c r="J120" i="3"/>
  <c r="I122" i="3"/>
  <c r="I121" i="3"/>
  <c r="I120" i="3"/>
  <c r="H122" i="3"/>
  <c r="H121" i="3"/>
  <c r="H120" i="3"/>
  <c r="G121" i="3"/>
  <c r="G120" i="3"/>
  <c r="F121" i="3"/>
  <c r="F120" i="3"/>
  <c r="E121" i="3"/>
  <c r="E120" i="3"/>
  <c r="D120" i="3"/>
  <c r="D131" i="3" s="1"/>
  <c r="C120" i="3"/>
  <c r="B120" i="3"/>
  <c r="C192" i="3" l="1"/>
  <c r="D190" i="3"/>
  <c r="C158" i="3"/>
  <c r="M158" i="3"/>
  <c r="M124" i="3"/>
  <c r="B189" i="3"/>
  <c r="C189" i="3"/>
  <c r="C200" i="3" s="1"/>
  <c r="E190" i="3"/>
  <c r="B201" i="3" s="1"/>
  <c r="D191" i="3"/>
  <c r="D199" i="3"/>
  <c r="G190" i="3"/>
  <c r="D201" i="3" s="1"/>
  <c r="K192" i="3"/>
  <c r="C199" i="3"/>
  <c r="D192" i="3"/>
  <c r="D189" i="3"/>
  <c r="D200" i="3" s="1"/>
  <c r="H191" i="3"/>
  <c r="B199" i="3"/>
  <c r="B200" i="3"/>
  <c r="H192" i="3"/>
  <c r="I192" i="3"/>
  <c r="C203" i="3" s="1"/>
  <c r="G192" i="3"/>
  <c r="B165" i="3"/>
  <c r="L158" i="3"/>
  <c r="H158" i="3"/>
  <c r="J157" i="3"/>
  <c r="D158" i="3"/>
  <c r="C165" i="3"/>
  <c r="B191" i="3"/>
  <c r="C190" i="3"/>
  <c r="C201" i="3" s="1"/>
  <c r="E192" i="3"/>
  <c r="F191" i="3"/>
  <c r="C202" i="3" s="1"/>
  <c r="J191" i="3"/>
  <c r="D202" i="3" s="1"/>
  <c r="M192" i="3"/>
  <c r="L124" i="3"/>
  <c r="J124" i="3"/>
  <c r="D165" i="3"/>
  <c r="B158" i="3"/>
  <c r="E156" i="3"/>
  <c r="E157" i="3"/>
  <c r="I157" i="3"/>
  <c r="F157" i="3"/>
  <c r="I158" i="3"/>
  <c r="C156" i="3"/>
  <c r="D157" i="3"/>
  <c r="K158" i="3"/>
  <c r="J158" i="3"/>
  <c r="C155" i="3"/>
  <c r="C166" i="3" s="1"/>
  <c r="D156" i="3"/>
  <c r="G156" i="3"/>
  <c r="B156" i="3"/>
  <c r="B167" i="3" s="1"/>
  <c r="B157" i="3"/>
  <c r="B168" i="3" s="1"/>
  <c r="C157" i="3"/>
  <c r="G158" i="3"/>
  <c r="F158" i="3"/>
  <c r="E158" i="3"/>
  <c r="F156" i="3"/>
  <c r="B155" i="3"/>
  <c r="B166" i="3" s="1"/>
  <c r="D155" i="3"/>
  <c r="D166" i="3" s="1"/>
  <c r="D121" i="3"/>
  <c r="D132" i="3" s="1"/>
  <c r="C131" i="3"/>
  <c r="B131" i="3"/>
  <c r="C121" i="3"/>
  <c r="C132" i="3" s="1"/>
  <c r="B121" i="3"/>
  <c r="B132" i="3" s="1"/>
  <c r="K124" i="3"/>
  <c r="P90" i="3"/>
  <c r="P89" i="3"/>
  <c r="P88" i="3"/>
  <c r="P87" i="3"/>
  <c r="P86" i="3"/>
  <c r="O90" i="3"/>
  <c r="O89" i="3"/>
  <c r="O88" i="3"/>
  <c r="O87" i="3"/>
  <c r="O86" i="3"/>
  <c r="N90" i="3"/>
  <c r="N89" i="3"/>
  <c r="N88" i="3"/>
  <c r="N87" i="3"/>
  <c r="N86" i="3"/>
  <c r="M89" i="3"/>
  <c r="M88" i="3"/>
  <c r="M87" i="3"/>
  <c r="M86" i="3"/>
  <c r="L89" i="3"/>
  <c r="L88" i="3"/>
  <c r="L87" i="3"/>
  <c r="L86" i="3"/>
  <c r="K89" i="3"/>
  <c r="K88" i="3"/>
  <c r="H89" i="3" s="1"/>
  <c r="K87" i="3"/>
  <c r="G89" i="3" s="1"/>
  <c r="K86" i="3"/>
  <c r="J88" i="3"/>
  <c r="J87" i="3"/>
  <c r="J86" i="3"/>
  <c r="I88" i="3"/>
  <c r="I87" i="3"/>
  <c r="I86" i="3"/>
  <c r="H88" i="3"/>
  <c r="H87" i="3"/>
  <c r="H86" i="3"/>
  <c r="G87" i="3"/>
  <c r="F87" i="3"/>
  <c r="E87" i="3"/>
  <c r="G86" i="3"/>
  <c r="F86" i="3"/>
  <c r="E86" i="3"/>
  <c r="D86" i="3"/>
  <c r="C86" i="3"/>
  <c r="B86" i="3"/>
  <c r="B203" i="3" l="1"/>
  <c r="D168" i="3"/>
  <c r="C169" i="3"/>
  <c r="B202" i="3"/>
  <c r="D203" i="3"/>
  <c r="C168" i="3"/>
  <c r="B169" i="3"/>
  <c r="C167" i="3"/>
  <c r="M90" i="3"/>
  <c r="K90" i="3"/>
  <c r="D169" i="3"/>
  <c r="D167" i="3"/>
  <c r="G88" i="3"/>
  <c r="H90" i="3"/>
  <c r="D90" i="3"/>
  <c r="C87" i="3"/>
  <c r="C98" i="3" s="1"/>
  <c r="F88" i="3"/>
  <c r="D87" i="3"/>
  <c r="D98" i="3" s="1"/>
  <c r="B88" i="3"/>
  <c r="B97" i="3"/>
  <c r="D97" i="3"/>
  <c r="B87" i="3"/>
  <c r="B98" i="3" s="1"/>
  <c r="E88" i="3"/>
  <c r="I89" i="3"/>
  <c r="J89" i="3"/>
  <c r="C97" i="3"/>
  <c r="B99" i="3"/>
  <c r="D89" i="3"/>
  <c r="L90" i="3"/>
  <c r="J90" i="3"/>
  <c r="G90" i="3"/>
  <c r="C88" i="3"/>
  <c r="I90" i="3"/>
  <c r="D88" i="3"/>
  <c r="B89" i="3"/>
  <c r="C89" i="3"/>
  <c r="E89" i="3"/>
  <c r="F89" i="3"/>
  <c r="B90" i="3"/>
  <c r="C90" i="3"/>
  <c r="E90" i="3"/>
  <c r="F90" i="3"/>
  <c r="E52" i="3"/>
  <c r="P55" i="3"/>
  <c r="P54" i="3"/>
  <c r="P53" i="3"/>
  <c r="P52" i="3"/>
  <c r="P51" i="3"/>
  <c r="O55" i="3"/>
  <c r="O54" i="3"/>
  <c r="O53" i="3"/>
  <c r="O52" i="3"/>
  <c r="O51" i="3"/>
  <c r="N55" i="3"/>
  <c r="N54" i="3"/>
  <c r="N53" i="3"/>
  <c r="N52" i="3"/>
  <c r="N51" i="3"/>
  <c r="M54" i="3"/>
  <c r="M53" i="3"/>
  <c r="M52" i="3"/>
  <c r="M51" i="3"/>
  <c r="L54" i="3"/>
  <c r="L53" i="3"/>
  <c r="L52" i="3"/>
  <c r="L51" i="3"/>
  <c r="K54" i="3"/>
  <c r="K53" i="3"/>
  <c r="I54" i="3" s="1"/>
  <c r="K52" i="3"/>
  <c r="G54" i="3" s="1"/>
  <c r="K51" i="3"/>
  <c r="C54" i="3" s="1"/>
  <c r="J53" i="3"/>
  <c r="J52" i="3"/>
  <c r="J51" i="3"/>
  <c r="I53" i="3"/>
  <c r="I52" i="3"/>
  <c r="I51" i="3"/>
  <c r="H53" i="3"/>
  <c r="H52" i="3"/>
  <c r="H51" i="3"/>
  <c r="G52" i="3"/>
  <c r="G51" i="3"/>
  <c r="F52" i="3"/>
  <c r="F51" i="3"/>
  <c r="E51" i="3"/>
  <c r="D51" i="3"/>
  <c r="C51" i="3"/>
  <c r="B51" i="3"/>
  <c r="C55" i="3" l="1"/>
  <c r="C99" i="3"/>
  <c r="D99" i="3"/>
  <c r="B100" i="3"/>
  <c r="B101" i="3"/>
  <c r="E55" i="3"/>
  <c r="D100" i="3"/>
  <c r="F55" i="3"/>
  <c r="F53" i="3"/>
  <c r="G55" i="3"/>
  <c r="J55" i="3"/>
  <c r="B55" i="3"/>
  <c r="D52" i="3"/>
  <c r="G53" i="3"/>
  <c r="D101" i="3"/>
  <c r="C101" i="3"/>
  <c r="C100" i="3"/>
  <c r="J54" i="3"/>
  <c r="B54" i="3"/>
  <c r="D55" i="3"/>
  <c r="L55" i="3"/>
  <c r="C53" i="3"/>
  <c r="K55" i="3"/>
  <c r="M55" i="3"/>
  <c r="H55" i="3"/>
  <c r="I55" i="3"/>
  <c r="D54" i="3"/>
  <c r="H54" i="3"/>
  <c r="E54" i="3"/>
  <c r="F54" i="3"/>
  <c r="E53" i="3"/>
  <c r="B53" i="3"/>
  <c r="D53" i="3"/>
  <c r="B52" i="3"/>
  <c r="C52" i="3"/>
  <c r="P180" i="3"/>
  <c r="O180" i="3"/>
  <c r="N180" i="3"/>
  <c r="M179" i="3"/>
  <c r="L179" i="3"/>
  <c r="K179" i="3"/>
  <c r="P146" i="3"/>
  <c r="O146" i="3"/>
  <c r="N146" i="3"/>
  <c r="M145" i="3"/>
  <c r="L145" i="3"/>
  <c r="K145" i="3"/>
  <c r="P112" i="3"/>
  <c r="O112" i="3"/>
  <c r="N112" i="3"/>
  <c r="M111" i="3"/>
  <c r="L111" i="3"/>
  <c r="K111" i="3"/>
  <c r="P78" i="3"/>
  <c r="O78" i="3"/>
  <c r="N78" i="3"/>
  <c r="M77" i="3"/>
  <c r="L77" i="3"/>
  <c r="K77" i="3"/>
  <c r="P43" i="3"/>
  <c r="O43" i="3"/>
  <c r="N43" i="3"/>
  <c r="M42" i="3"/>
  <c r="L42" i="3"/>
  <c r="K42" i="3"/>
  <c r="N14" i="3"/>
  <c r="O14" i="3"/>
  <c r="P14" i="3"/>
  <c r="N15" i="3"/>
  <c r="O15" i="3"/>
  <c r="P15" i="3"/>
  <c r="N17" i="3"/>
  <c r="O17" i="3"/>
  <c r="P17" i="3"/>
  <c r="K14" i="3"/>
  <c r="L14" i="3"/>
  <c r="M14" i="3"/>
  <c r="K16" i="3"/>
  <c r="L16" i="3"/>
  <c r="M16" i="3"/>
  <c r="H14" i="3"/>
  <c r="I14" i="3"/>
  <c r="J14" i="3"/>
  <c r="H15" i="3"/>
  <c r="I15" i="3"/>
  <c r="J15" i="3"/>
  <c r="E14" i="3"/>
  <c r="F14" i="3"/>
  <c r="G14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B13" i="3"/>
  <c r="P5" i="3"/>
  <c r="P16" i="3" s="1"/>
  <c r="O5" i="3"/>
  <c r="O16" i="3" s="1"/>
  <c r="N5" i="3"/>
  <c r="N16" i="3" s="1"/>
  <c r="M4" i="3"/>
  <c r="M15" i="3" s="1"/>
  <c r="L4" i="3"/>
  <c r="L15" i="3" s="1"/>
  <c r="K4" i="3"/>
  <c r="K15" i="3" s="1"/>
  <c r="E104" i="1"/>
  <c r="D104" i="1"/>
  <c r="C57" i="1"/>
  <c r="C68" i="1" s="1"/>
  <c r="C93" i="1"/>
  <c r="E117" i="1"/>
  <c r="E116" i="1"/>
  <c r="E115" i="1"/>
  <c r="E114" i="1"/>
  <c r="D117" i="1"/>
  <c r="D116" i="1"/>
  <c r="D115" i="1"/>
  <c r="D114" i="1"/>
  <c r="C116" i="1"/>
  <c r="C115" i="1"/>
  <c r="C114" i="1"/>
  <c r="C117" i="1"/>
  <c r="B116" i="1"/>
  <c r="B117" i="1"/>
  <c r="B115" i="1"/>
  <c r="B114" i="1"/>
  <c r="E94" i="1"/>
  <c r="E93" i="1"/>
  <c r="E92" i="1"/>
  <c r="E91" i="1"/>
  <c r="D94" i="1"/>
  <c r="D93" i="1"/>
  <c r="D92" i="1"/>
  <c r="D91" i="1"/>
  <c r="C94" i="1"/>
  <c r="C92" i="1"/>
  <c r="C91" i="1"/>
  <c r="B94" i="1"/>
  <c r="B93" i="1"/>
  <c r="B92" i="1"/>
  <c r="B91" i="1"/>
  <c r="E71" i="1"/>
  <c r="E70" i="1"/>
  <c r="E69" i="1"/>
  <c r="E68" i="1"/>
  <c r="D71" i="1"/>
  <c r="D70" i="1"/>
  <c r="D69" i="1"/>
  <c r="D68" i="1"/>
  <c r="C69" i="1"/>
  <c r="C70" i="1"/>
  <c r="C71" i="1"/>
  <c r="B71" i="1"/>
  <c r="B68" i="1"/>
  <c r="B70" i="1"/>
  <c r="B48" i="1"/>
  <c r="E49" i="1"/>
  <c r="D48" i="1"/>
  <c r="D47" i="1"/>
  <c r="D46" i="1"/>
  <c r="C48" i="1"/>
  <c r="C47" i="1"/>
  <c r="C46" i="1"/>
  <c r="B47" i="1"/>
  <c r="B46" i="1"/>
  <c r="E37" i="1"/>
  <c r="E48" i="1" s="1"/>
  <c r="E36" i="1"/>
  <c r="C49" i="1" s="1"/>
  <c r="E35" i="1"/>
  <c r="E46" i="1" s="1"/>
  <c r="D23" i="1"/>
  <c r="C23" i="1"/>
  <c r="C22" i="1"/>
  <c r="B23" i="1"/>
  <c r="B22" i="1"/>
  <c r="B21" i="1"/>
  <c r="E22" i="1"/>
  <c r="E23" i="1"/>
  <c r="D22" i="1"/>
  <c r="D21" i="1"/>
  <c r="E21" i="1"/>
  <c r="C21" i="1"/>
  <c r="C20" i="1"/>
  <c r="D20" i="1"/>
  <c r="E20" i="1"/>
  <c r="B20" i="1"/>
  <c r="B102" i="3" l="1"/>
  <c r="B103" i="3" s="1"/>
  <c r="I124" i="3"/>
  <c r="H124" i="3"/>
  <c r="D122" i="3"/>
  <c r="C122" i="3"/>
  <c r="B122" i="3"/>
  <c r="C124" i="3"/>
  <c r="B124" i="3"/>
  <c r="D124" i="3"/>
  <c r="E123" i="3"/>
  <c r="F123" i="3"/>
  <c r="G123" i="3"/>
  <c r="G124" i="3"/>
  <c r="F124" i="3"/>
  <c r="E124" i="3"/>
  <c r="D123" i="3"/>
  <c r="D134" i="3" s="1"/>
  <c r="C123" i="3"/>
  <c r="B123" i="3"/>
  <c r="F122" i="3"/>
  <c r="E122" i="3"/>
  <c r="G122" i="3"/>
  <c r="I123" i="3"/>
  <c r="H123" i="3"/>
  <c r="D62" i="3"/>
  <c r="B62" i="3"/>
  <c r="C62" i="3"/>
  <c r="B69" i="1"/>
  <c r="B72" i="1" s="1"/>
  <c r="J68" i="1" s="1"/>
  <c r="D63" i="3"/>
  <c r="B24" i="3"/>
  <c r="D24" i="3"/>
  <c r="G15" i="3"/>
  <c r="C17" i="3"/>
  <c r="C24" i="3"/>
  <c r="D14" i="3"/>
  <c r="D25" i="3" s="1"/>
  <c r="G16" i="3"/>
  <c r="F17" i="3"/>
  <c r="B15" i="3"/>
  <c r="D16" i="3"/>
  <c r="D15" i="3"/>
  <c r="J16" i="3"/>
  <c r="L17" i="3"/>
  <c r="I17" i="3"/>
  <c r="C16" i="3"/>
  <c r="M17" i="3"/>
  <c r="D17" i="3"/>
  <c r="F15" i="3"/>
  <c r="C15" i="3"/>
  <c r="B16" i="3"/>
  <c r="E15" i="3"/>
  <c r="F16" i="3"/>
  <c r="E17" i="3"/>
  <c r="G17" i="3"/>
  <c r="I16" i="3"/>
  <c r="H17" i="3"/>
  <c r="J17" i="3"/>
  <c r="C14" i="3"/>
  <c r="C25" i="3" s="1"/>
  <c r="B14" i="3"/>
  <c r="B25" i="3" s="1"/>
  <c r="B17" i="3"/>
  <c r="E16" i="3"/>
  <c r="H16" i="3"/>
  <c r="K17" i="3"/>
  <c r="B118" i="1"/>
  <c r="B95" i="1"/>
  <c r="D72" i="1"/>
  <c r="L70" i="1" s="1"/>
  <c r="C95" i="1"/>
  <c r="K92" i="1" s="1"/>
  <c r="D118" i="1"/>
  <c r="C118" i="1"/>
  <c r="D95" i="1"/>
  <c r="C72" i="1"/>
  <c r="K68" i="1" s="1"/>
  <c r="E47" i="1"/>
  <c r="E50" i="1" s="1"/>
  <c r="M46" i="1" s="1"/>
  <c r="D49" i="1"/>
  <c r="D50" i="1" s="1"/>
  <c r="C50" i="1"/>
  <c r="K49" i="1" s="1"/>
  <c r="B49" i="1"/>
  <c r="B50" i="1" s="1"/>
  <c r="D24" i="1"/>
  <c r="E24" i="1"/>
  <c r="M23" i="1" s="1"/>
  <c r="C24" i="1"/>
  <c r="K23" i="1" s="1"/>
  <c r="B24" i="1"/>
  <c r="J20" i="1" s="1"/>
  <c r="C133" i="3" l="1"/>
  <c r="C134" i="3"/>
  <c r="B135" i="3"/>
  <c r="B134" i="3"/>
  <c r="D135" i="3"/>
  <c r="D133" i="3"/>
  <c r="C135" i="3"/>
  <c r="B133" i="3"/>
  <c r="D26" i="3"/>
  <c r="D64" i="3"/>
  <c r="D66" i="3"/>
  <c r="D65" i="3"/>
  <c r="C26" i="3"/>
  <c r="C66" i="3"/>
  <c r="C64" i="3"/>
  <c r="B64" i="3"/>
  <c r="C65" i="3"/>
  <c r="B65" i="3"/>
  <c r="C63" i="3"/>
  <c r="C28" i="3"/>
  <c r="B66" i="3"/>
  <c r="B63" i="3"/>
  <c r="B27" i="3"/>
  <c r="C27" i="3"/>
  <c r="B28" i="3"/>
  <c r="D27" i="3"/>
  <c r="D28" i="3"/>
  <c r="B26" i="3"/>
  <c r="K116" i="1"/>
  <c r="K114" i="1"/>
  <c r="K117" i="1"/>
  <c r="L116" i="1"/>
  <c r="L117" i="1"/>
  <c r="J115" i="1"/>
  <c r="J116" i="1"/>
  <c r="J117" i="1"/>
  <c r="J114" i="1"/>
  <c r="K115" i="1"/>
  <c r="L114" i="1"/>
  <c r="L115" i="1"/>
  <c r="L93" i="1"/>
  <c r="L94" i="1"/>
  <c r="L91" i="1"/>
  <c r="J91" i="1"/>
  <c r="J92" i="1"/>
  <c r="J93" i="1"/>
  <c r="J94" i="1"/>
  <c r="L92" i="1"/>
  <c r="K91" i="1"/>
  <c r="K93" i="1"/>
  <c r="K94" i="1"/>
  <c r="K48" i="1"/>
  <c r="J71" i="1"/>
  <c r="L69" i="1"/>
  <c r="K69" i="1"/>
  <c r="L68" i="1"/>
  <c r="L71" i="1"/>
  <c r="K70" i="1"/>
  <c r="K71" i="1"/>
  <c r="J70" i="1"/>
  <c r="J69" i="1"/>
  <c r="L47" i="1"/>
  <c r="E118" i="1"/>
  <c r="E95" i="1"/>
  <c r="E72" i="1"/>
  <c r="K47" i="1"/>
  <c r="K46" i="1"/>
  <c r="J47" i="1"/>
  <c r="J46" i="1"/>
  <c r="J48" i="1"/>
  <c r="J49" i="1"/>
  <c r="M47" i="1"/>
  <c r="L49" i="1"/>
  <c r="L48" i="1"/>
  <c r="M48" i="1"/>
  <c r="M49" i="1"/>
  <c r="L46" i="1"/>
  <c r="J22" i="1"/>
  <c r="J23" i="1"/>
  <c r="J21" i="1"/>
  <c r="L21" i="1"/>
  <c r="L23" i="1"/>
  <c r="L22" i="1"/>
  <c r="L20" i="1"/>
  <c r="K20" i="1"/>
  <c r="K22" i="1"/>
  <c r="K21" i="1"/>
  <c r="M21" i="1"/>
  <c r="M22" i="1"/>
  <c r="M20" i="1"/>
  <c r="D102" i="3" l="1"/>
  <c r="D103" i="3" s="1"/>
  <c r="D67" i="3"/>
  <c r="D68" i="3" s="1"/>
  <c r="D136" i="3"/>
  <c r="D137" i="3" s="1"/>
  <c r="B67" i="3"/>
  <c r="B68" i="3" s="1"/>
  <c r="C67" i="3"/>
  <c r="C68" i="3" s="1"/>
  <c r="C204" i="3"/>
  <c r="C205" i="3" s="1"/>
  <c r="B170" i="3"/>
  <c r="B171" i="3" s="1"/>
  <c r="C102" i="3"/>
  <c r="C103" i="3" s="1"/>
  <c r="B136" i="3"/>
  <c r="B137" i="3" s="1"/>
  <c r="C170" i="3"/>
  <c r="C171" i="3" s="1"/>
  <c r="B204" i="3"/>
  <c r="B205" i="3" s="1"/>
  <c r="D204" i="3"/>
  <c r="D205" i="3" s="1"/>
  <c r="D170" i="3"/>
  <c r="D171" i="3" s="1"/>
  <c r="C136" i="3"/>
  <c r="C137" i="3" s="1"/>
  <c r="C29" i="3"/>
  <c r="C30" i="3" s="1"/>
  <c r="D29" i="3"/>
  <c r="D30" i="3" s="1"/>
  <c r="B29" i="3"/>
  <c r="M115" i="1"/>
  <c r="N115" i="1" s="1"/>
  <c r="D126" i="1" s="1"/>
  <c r="M116" i="1"/>
  <c r="N116" i="1" s="1"/>
  <c r="E126" i="1" s="1"/>
  <c r="M117" i="1"/>
  <c r="N117" i="1" s="1"/>
  <c r="F126" i="1" s="1"/>
  <c r="M114" i="1"/>
  <c r="N114" i="1" s="1"/>
  <c r="C126" i="1" s="1"/>
  <c r="M92" i="1"/>
  <c r="M93" i="1"/>
  <c r="N93" i="1" s="1"/>
  <c r="E125" i="1" s="1"/>
  <c r="M94" i="1"/>
  <c r="N94" i="1" s="1"/>
  <c r="F125" i="1" s="1"/>
  <c r="M91" i="1"/>
  <c r="N91" i="1" s="1"/>
  <c r="C125" i="1" s="1"/>
  <c r="M70" i="1"/>
  <c r="N70" i="1" s="1"/>
  <c r="E124" i="1" s="1"/>
  <c r="M69" i="1"/>
  <c r="N69" i="1" s="1"/>
  <c r="D124" i="1" s="1"/>
  <c r="M71" i="1"/>
  <c r="N71" i="1" s="1"/>
  <c r="F124" i="1" s="1"/>
  <c r="M68" i="1"/>
  <c r="N68" i="1" s="1"/>
  <c r="C124" i="1" s="1"/>
  <c r="N92" i="1"/>
  <c r="D125" i="1" s="1"/>
  <c r="N47" i="1"/>
  <c r="D123" i="1" s="1"/>
  <c r="N46" i="1"/>
  <c r="N48" i="1"/>
  <c r="E123" i="1" s="1"/>
  <c r="N49" i="1"/>
  <c r="F123" i="1" s="1"/>
  <c r="N21" i="1"/>
  <c r="N22" i="1"/>
  <c r="N20" i="1"/>
  <c r="N23" i="1"/>
  <c r="C104" i="3" l="1"/>
  <c r="D104" i="3"/>
  <c r="B104" i="3"/>
  <c r="C138" i="3"/>
  <c r="C69" i="3"/>
  <c r="D69" i="3"/>
  <c r="B69" i="3"/>
  <c r="D172" i="3"/>
  <c r="D138" i="3"/>
  <c r="B138" i="3"/>
  <c r="D206" i="3"/>
  <c r="C206" i="3"/>
  <c r="B206" i="3"/>
  <c r="B172" i="3"/>
  <c r="C172" i="3"/>
  <c r="B30" i="3"/>
  <c r="D31" i="3" s="1"/>
  <c r="B124" i="1"/>
  <c r="B125" i="1"/>
  <c r="B126" i="1"/>
  <c r="B123" i="1"/>
  <c r="C123" i="1"/>
  <c r="N118" i="1"/>
  <c r="N72" i="1"/>
  <c r="N95" i="1"/>
  <c r="N50" i="1"/>
  <c r="N24" i="1"/>
  <c r="L202" i="3" l="1"/>
  <c r="L201" i="3"/>
  <c r="L199" i="3"/>
  <c r="L200" i="3"/>
  <c r="L203" i="3"/>
  <c r="L166" i="3"/>
  <c r="L169" i="3"/>
  <c r="L168" i="3"/>
  <c r="L167" i="3"/>
  <c r="L165" i="3"/>
  <c r="L133" i="3"/>
  <c r="L131" i="3"/>
  <c r="L132" i="3"/>
  <c r="L135" i="3"/>
  <c r="L134" i="3"/>
  <c r="L99" i="3"/>
  <c r="L100" i="3"/>
  <c r="L97" i="3"/>
  <c r="L98" i="3"/>
  <c r="L101" i="3"/>
  <c r="L62" i="3"/>
  <c r="L63" i="3"/>
  <c r="L64" i="3"/>
  <c r="L65" i="3"/>
  <c r="L66" i="3"/>
  <c r="C31" i="3"/>
  <c r="L26" i="3"/>
  <c r="L24" i="3"/>
  <c r="L25" i="3"/>
  <c r="L28" i="3"/>
  <c r="L27" i="3"/>
  <c r="B31" i="3"/>
  <c r="J199" i="3" s="1"/>
  <c r="K123" i="1"/>
  <c r="M123" i="1"/>
  <c r="J123" i="1"/>
  <c r="L123" i="1"/>
  <c r="J126" i="1"/>
  <c r="L126" i="1"/>
  <c r="M126" i="1"/>
  <c r="K126" i="1"/>
  <c r="J125" i="1"/>
  <c r="K125" i="1"/>
  <c r="L125" i="1"/>
  <c r="M125" i="1"/>
  <c r="J124" i="1"/>
  <c r="L124" i="1"/>
  <c r="M124" i="1"/>
  <c r="K124" i="1"/>
  <c r="J200" i="3" l="1"/>
  <c r="J203" i="3"/>
  <c r="J202" i="3"/>
  <c r="J201" i="3"/>
  <c r="K201" i="3"/>
  <c r="K199" i="3"/>
  <c r="K200" i="3"/>
  <c r="K203" i="3"/>
  <c r="K202" i="3"/>
  <c r="J168" i="3"/>
  <c r="J167" i="3"/>
  <c r="J165" i="3"/>
  <c r="J166" i="3"/>
  <c r="J169" i="3"/>
  <c r="K169" i="3"/>
  <c r="K168" i="3"/>
  <c r="K167" i="3"/>
  <c r="K165" i="3"/>
  <c r="K166" i="3"/>
  <c r="J135" i="3"/>
  <c r="J134" i="3"/>
  <c r="J131" i="3"/>
  <c r="J133" i="3"/>
  <c r="J132" i="3"/>
  <c r="K132" i="3"/>
  <c r="K135" i="3"/>
  <c r="K134" i="3"/>
  <c r="K133" i="3"/>
  <c r="K131" i="3"/>
  <c r="J99" i="3"/>
  <c r="J101" i="3"/>
  <c r="J97" i="3"/>
  <c r="J100" i="3"/>
  <c r="J98" i="3"/>
  <c r="K98" i="3"/>
  <c r="K97" i="3"/>
  <c r="K99" i="3"/>
  <c r="K101" i="3"/>
  <c r="K100" i="3"/>
  <c r="J62" i="3"/>
  <c r="J64" i="3"/>
  <c r="J63" i="3"/>
  <c r="J65" i="3"/>
  <c r="J66" i="3"/>
  <c r="K25" i="3"/>
  <c r="K62" i="3"/>
  <c r="K63" i="3"/>
  <c r="K65" i="3"/>
  <c r="K66" i="3"/>
  <c r="K64" i="3"/>
  <c r="K27" i="3"/>
  <c r="K24" i="3"/>
  <c r="K28" i="3"/>
  <c r="K26" i="3"/>
  <c r="J24" i="3"/>
  <c r="J25" i="3"/>
  <c r="J28" i="3"/>
  <c r="J26" i="3"/>
  <c r="J27" i="3"/>
  <c r="K127" i="1"/>
  <c r="M127" i="1"/>
  <c r="J127" i="1"/>
  <c r="L127" i="1"/>
  <c r="L132" i="1"/>
  <c r="G132" i="1"/>
  <c r="M25" i="3" l="1"/>
  <c r="M64" i="3"/>
  <c r="M99" i="3"/>
  <c r="M201" i="3"/>
  <c r="M134" i="3"/>
  <c r="M135" i="3"/>
  <c r="M199" i="3"/>
  <c r="M27" i="3"/>
  <c r="M24" i="3"/>
  <c r="M166" i="3"/>
  <c r="M131" i="3"/>
  <c r="M28" i="3"/>
  <c r="M62" i="3"/>
  <c r="M203" i="3"/>
  <c r="M101" i="3"/>
  <c r="M202" i="3"/>
  <c r="M165" i="3"/>
  <c r="M65" i="3"/>
  <c r="M100" i="3"/>
  <c r="M167" i="3"/>
  <c r="M133" i="3"/>
  <c r="M169" i="3"/>
  <c r="M97" i="3"/>
  <c r="M200" i="3"/>
  <c r="M26" i="3"/>
  <c r="M66" i="3"/>
  <c r="M168" i="3"/>
  <c r="M63" i="3"/>
  <c r="M132" i="3"/>
  <c r="M98" i="3"/>
  <c r="M136" i="3" l="1"/>
  <c r="M29" i="3"/>
  <c r="N66" i="3" s="1"/>
  <c r="G213" i="3" s="1"/>
  <c r="M204" i="3"/>
  <c r="M170" i="3"/>
  <c r="M67" i="3"/>
  <c r="M102" i="3"/>
  <c r="N203" i="3" l="1"/>
  <c r="G217" i="3" s="1"/>
  <c r="N199" i="3"/>
  <c r="C217" i="3" s="1"/>
  <c r="N201" i="3"/>
  <c r="E217" i="3" s="1"/>
  <c r="N202" i="3"/>
  <c r="F217" i="3" s="1"/>
  <c r="N200" i="3"/>
  <c r="D217" i="3" s="1"/>
  <c r="N169" i="3"/>
  <c r="G216" i="3" s="1"/>
  <c r="N166" i="3"/>
  <c r="D216" i="3" s="1"/>
  <c r="N168" i="3"/>
  <c r="F216" i="3" s="1"/>
  <c r="N165" i="3"/>
  <c r="C216" i="3" s="1"/>
  <c r="N167" i="3"/>
  <c r="E216" i="3" s="1"/>
  <c r="N133" i="3"/>
  <c r="E215" i="3" s="1"/>
  <c r="N132" i="3"/>
  <c r="D215" i="3" s="1"/>
  <c r="N135" i="3"/>
  <c r="G215" i="3" s="1"/>
  <c r="N134" i="3"/>
  <c r="F215" i="3" s="1"/>
  <c r="N131" i="3"/>
  <c r="C215" i="3" s="1"/>
  <c r="N99" i="3"/>
  <c r="E214" i="3" s="1"/>
  <c r="N101" i="3"/>
  <c r="G214" i="3" s="1"/>
  <c r="N100" i="3"/>
  <c r="F214" i="3" s="1"/>
  <c r="N98" i="3"/>
  <c r="D214" i="3" s="1"/>
  <c r="N97" i="3"/>
  <c r="C214" i="3" s="1"/>
  <c r="N25" i="3"/>
  <c r="B214" i="3" s="1"/>
  <c r="N28" i="3"/>
  <c r="B217" i="3" s="1"/>
  <c r="N63" i="3"/>
  <c r="D213" i="3" s="1"/>
  <c r="N26" i="3"/>
  <c r="B215" i="3" s="1"/>
  <c r="N27" i="3"/>
  <c r="B216" i="3" s="1"/>
  <c r="N64" i="3"/>
  <c r="E213" i="3" s="1"/>
  <c r="N62" i="3"/>
  <c r="C213" i="3" s="1"/>
  <c r="N65" i="3"/>
  <c r="F213" i="3" s="1"/>
  <c r="N24" i="3"/>
  <c r="B213" i="3" s="1"/>
  <c r="P215" i="3" l="1"/>
  <c r="M215" i="3"/>
  <c r="N215" i="3"/>
  <c r="O215" i="3"/>
  <c r="L215" i="3"/>
  <c r="N217" i="3"/>
  <c r="O217" i="3"/>
  <c r="L217" i="3"/>
  <c r="P217" i="3"/>
  <c r="M217" i="3"/>
  <c r="N213" i="3"/>
  <c r="O213" i="3"/>
  <c r="P213" i="3"/>
  <c r="M213" i="3"/>
  <c r="L213" i="3"/>
  <c r="O216" i="3"/>
  <c r="L216" i="3"/>
  <c r="P216" i="3"/>
  <c r="M216" i="3"/>
  <c r="N216" i="3"/>
  <c r="L214" i="3"/>
  <c r="P214" i="3"/>
  <c r="M214" i="3"/>
  <c r="N214" i="3"/>
  <c r="O214" i="3"/>
  <c r="N136" i="3"/>
  <c r="N29" i="3"/>
  <c r="N204" i="3"/>
  <c r="N67" i="3"/>
  <c r="N102" i="3"/>
  <c r="N170" i="3"/>
  <c r="O218" i="3" l="1"/>
  <c r="M218" i="3"/>
  <c r="N218" i="3"/>
  <c r="P218" i="3"/>
  <c r="L218" i="3"/>
  <c r="H224" i="3"/>
  <c r="M224" i="3"/>
</calcChain>
</file>

<file path=xl/comments1.xml><?xml version="1.0" encoding="utf-8"?>
<comments xmlns="http://schemas.openxmlformats.org/spreadsheetml/2006/main">
  <authors>
    <author>Dell</author>
  </authors>
  <commentList>
    <comment ref="N24" authorId="0" shapeId="0">
      <text>
        <r>
          <rPr>
            <sz val="9"/>
            <color indexed="81"/>
            <rFont val="Tahoma"/>
            <family val="2"/>
          </rPr>
          <t>Sum of Average should be</t>
        </r>
        <r>
          <rPr>
            <b/>
            <sz val="11"/>
            <color indexed="81"/>
            <rFont val="Arial Rounded MT Bold"/>
            <family val="2"/>
          </rPr>
          <t xml:space="preserve"> 1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Sum of Average should be</t>
        </r>
        <r>
          <rPr>
            <b/>
            <sz val="11"/>
            <color indexed="81"/>
            <rFont val="Arial Rounded MT Bold"/>
            <family val="2"/>
          </rPr>
          <t xml:space="preserve"> 1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Sum of Average should be</t>
        </r>
        <r>
          <rPr>
            <b/>
            <sz val="11"/>
            <color indexed="81"/>
            <rFont val="Arial Rounded MT Bold"/>
            <family val="2"/>
          </rPr>
          <t xml:space="preserve"> 1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>Sum of Average should be</t>
        </r>
        <r>
          <rPr>
            <b/>
            <sz val="11"/>
            <color indexed="81"/>
            <rFont val="Arial Rounded MT Bold"/>
            <family val="2"/>
          </rPr>
          <t xml:space="preserve"> 1</t>
        </r>
      </text>
    </comment>
    <comment ref="N118" authorId="0" shapeId="0">
      <text>
        <r>
          <rPr>
            <sz val="9"/>
            <color indexed="81"/>
            <rFont val="Tahoma"/>
            <family val="2"/>
          </rPr>
          <t>Sum of Average should be</t>
        </r>
        <r>
          <rPr>
            <b/>
            <sz val="11"/>
            <color indexed="81"/>
            <rFont val="Arial Rounded MT Bold"/>
            <family val="2"/>
          </rPr>
          <t xml:space="preserve"> 1</t>
        </r>
      </text>
    </comment>
  </commentList>
</comments>
</file>

<file path=xl/sharedStrings.xml><?xml version="1.0" encoding="utf-8"?>
<sst xmlns="http://schemas.openxmlformats.org/spreadsheetml/2006/main" count="415" uniqueCount="31">
  <si>
    <t>Q</t>
  </si>
  <si>
    <t>P</t>
  </si>
  <si>
    <t>S</t>
  </si>
  <si>
    <t>D</t>
  </si>
  <si>
    <t>WRT Quality</t>
  </si>
  <si>
    <t>P1</t>
  </si>
  <si>
    <t>P2</t>
  </si>
  <si>
    <t>P3</t>
  </si>
  <si>
    <t>P4</t>
  </si>
  <si>
    <t>WRT Price</t>
  </si>
  <si>
    <t>WRT Service</t>
  </si>
  <si>
    <t>WRT Delivery</t>
  </si>
  <si>
    <t>Total</t>
  </si>
  <si>
    <t>Average</t>
  </si>
  <si>
    <t>Weights</t>
  </si>
  <si>
    <t>SUM</t>
  </si>
  <si>
    <t>Quality</t>
  </si>
  <si>
    <t>Origin</t>
  </si>
  <si>
    <t>Cost</t>
  </si>
  <si>
    <t>Delivery</t>
  </si>
  <si>
    <t>After Sales</t>
  </si>
  <si>
    <t>Geometric Mean</t>
  </si>
  <si>
    <t>Fuzzy Weight</t>
  </si>
  <si>
    <t>Mi</t>
  </si>
  <si>
    <t>Reverse</t>
  </si>
  <si>
    <t>Increasing Order</t>
  </si>
  <si>
    <t>Normalized</t>
  </si>
  <si>
    <t>P5</t>
  </si>
  <si>
    <t>Wrt Origin</t>
  </si>
  <si>
    <t>WRT Cost</t>
  </si>
  <si>
    <t>WRT After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</si>
</sst>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1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6" borderId="2" applyNumberFormat="0" applyAlignment="0" applyProtection="0"/>
  </cellStyleXfs>
  <cellXfs count="23">
    <xf numFmtId="0" fontId="0" fillId="0" borderId="0" xfId="0"/>
    <xf numFmtId="0" fontId="6" fillId="0" borderId="0" xfId="0" applyFont="1"/>
    <xf numFmtId="0" fontId="3" fillId="4" borderId="0" xfId="3"/>
    <xf numFmtId="0" fontId="4" fillId="5" borderId="1" xfId="4"/>
    <xf numFmtId="0" fontId="1" fillId="2" borderId="0" xfId="1"/>
    <xf numFmtId="0" fontId="1" fillId="2" borderId="0" xfId="1" applyBorder="1"/>
    <xf numFmtId="0" fontId="2" fillId="3" borderId="0" xfId="2"/>
    <xf numFmtId="2" fontId="3" fillId="4" borderId="0" xfId="3" applyNumberFormat="1"/>
    <xf numFmtId="0" fontId="5" fillId="6" borderId="2" xfId="5"/>
    <xf numFmtId="1" fontId="3" fillId="4" borderId="0" xfId="3" applyNumberFormat="1"/>
    <xf numFmtId="0" fontId="0" fillId="7" borderId="0" xfId="0" applyFill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8" borderId="0" xfId="0" applyFill="1"/>
    <xf numFmtId="0" fontId="0" fillId="11" borderId="0" xfId="0" applyFill="1"/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6">
    <cellStyle name="Bad" xfId="2" builtinId="27"/>
    <cellStyle name="Calculation" xfId="4" builtinId="22"/>
    <cellStyle name="Check Cell" xfId="5" builtinId="23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335280</xdr:colOff>
      <xdr:row>13</xdr:row>
      <xdr:rowOff>7620</xdr:rowOff>
    </xdr:from>
    <xdr:to>
      <xdr:col>3</xdr:col>
      <xdr:colOff>297180</xdr:colOff>
      <xdr:row>16</xdr:row>
      <xdr:rowOff>175260</xdr:rowOff>
    </xdr:to>
    <xdr:sp macro="[0]!Module1.Step1" textlink="">
      <xdr:nvSpPr>
        <xdr:cNvPr id="6" name="Down Arrow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952500" y="1104900"/>
          <a:ext cx="1196340" cy="716280"/>
        </a:xfrm>
        <a:prstGeom prst="downArrow">
          <a:avLst>
            <a:gd name="adj1" fmla="val 50000"/>
            <a:gd name="adj2" fmla="val 372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-1</a:t>
          </a:r>
        </a:p>
      </xdr:txBody>
    </xdr:sp>
    <xdr:clientData/>
  </xdr:twoCellAnchor>
  <xdr:twoCellAnchor>
    <xdr:from>
      <xdr:col>6</xdr:col>
      <xdr:colOff>15240</xdr:colOff>
      <xdr:row>19</xdr:row>
      <xdr:rowOff>0</xdr:rowOff>
    </xdr:from>
    <xdr:to>
      <xdr:col>7</xdr:col>
      <xdr:colOff>281940</xdr:colOff>
      <xdr:row>22</xdr:row>
      <xdr:rowOff>175260</xdr:rowOff>
    </xdr:to>
    <xdr:sp macro="[0]!Module1.Step2" textlink="">
      <xdr:nvSpPr>
        <xdr:cNvPr id="7" name="Right Arrow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3718560" y="2194560"/>
          <a:ext cx="883920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Step-2</a:t>
          </a:r>
        </a:p>
      </xdr:txBody>
    </xdr:sp>
    <xdr:clientData/>
  </xdr:twoCellAnchor>
  <xdr:twoCellAnchor>
    <xdr:from>
      <xdr:col>1</xdr:col>
      <xdr:colOff>335280</xdr:colOff>
      <xdr:row>39</xdr:row>
      <xdr:rowOff>7620</xdr:rowOff>
    </xdr:from>
    <xdr:to>
      <xdr:col>3</xdr:col>
      <xdr:colOff>297180</xdr:colOff>
      <xdr:row>42</xdr:row>
      <xdr:rowOff>175260</xdr:rowOff>
    </xdr:to>
    <xdr:sp macro="[0]!Module1.Step3" textlink="">
      <xdr:nvSpPr>
        <xdr:cNvPr id="12" name="Down Arrow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952500" y="2385060"/>
          <a:ext cx="1196340" cy="716280"/>
        </a:xfrm>
        <a:prstGeom prst="downArrow">
          <a:avLst>
            <a:gd name="adj1" fmla="val 50000"/>
            <a:gd name="adj2" fmla="val 372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-3</a:t>
          </a:r>
        </a:p>
      </xdr:txBody>
    </xdr:sp>
    <xdr:clientData/>
  </xdr:twoCellAnchor>
  <xdr:twoCellAnchor>
    <xdr:from>
      <xdr:col>6</xdr:col>
      <xdr:colOff>15240</xdr:colOff>
      <xdr:row>45</xdr:row>
      <xdr:rowOff>0</xdr:rowOff>
    </xdr:from>
    <xdr:to>
      <xdr:col>7</xdr:col>
      <xdr:colOff>281940</xdr:colOff>
      <xdr:row>48</xdr:row>
      <xdr:rowOff>175260</xdr:rowOff>
    </xdr:to>
    <xdr:sp macro="[0]!Module1.Step4" textlink="">
      <xdr:nvSpPr>
        <xdr:cNvPr id="13" name="Right Arrow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3718560" y="3474720"/>
          <a:ext cx="883920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Step-4</a:t>
          </a:r>
        </a:p>
      </xdr:txBody>
    </xdr:sp>
    <xdr:clientData/>
  </xdr:twoCellAnchor>
  <xdr:twoCellAnchor>
    <xdr:from>
      <xdr:col>1</xdr:col>
      <xdr:colOff>335280</xdr:colOff>
      <xdr:row>61</xdr:row>
      <xdr:rowOff>7620</xdr:rowOff>
    </xdr:from>
    <xdr:to>
      <xdr:col>3</xdr:col>
      <xdr:colOff>297180</xdr:colOff>
      <xdr:row>64</xdr:row>
      <xdr:rowOff>175260</xdr:rowOff>
    </xdr:to>
    <xdr:sp macro="[0]!Module1.Step5" textlink="">
      <xdr:nvSpPr>
        <xdr:cNvPr id="14" name="Down Arrow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165860" y="7170420"/>
          <a:ext cx="1196340" cy="716280"/>
        </a:xfrm>
        <a:prstGeom prst="downArrow">
          <a:avLst>
            <a:gd name="adj1" fmla="val 50000"/>
            <a:gd name="adj2" fmla="val 372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-5</a:t>
          </a:r>
        </a:p>
      </xdr:txBody>
    </xdr:sp>
    <xdr:clientData/>
  </xdr:twoCellAnchor>
  <xdr:twoCellAnchor>
    <xdr:from>
      <xdr:col>6</xdr:col>
      <xdr:colOff>15240</xdr:colOff>
      <xdr:row>67</xdr:row>
      <xdr:rowOff>0</xdr:rowOff>
    </xdr:from>
    <xdr:to>
      <xdr:col>7</xdr:col>
      <xdr:colOff>281940</xdr:colOff>
      <xdr:row>70</xdr:row>
      <xdr:rowOff>175260</xdr:rowOff>
    </xdr:to>
    <xdr:sp macro="[0]!Module1.Step6" textlink="">
      <xdr:nvSpPr>
        <xdr:cNvPr id="15" name="Right Arrow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931920" y="8282940"/>
          <a:ext cx="883920" cy="7315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Step-6</a:t>
          </a:r>
        </a:p>
      </xdr:txBody>
    </xdr:sp>
    <xdr:clientData/>
  </xdr:twoCellAnchor>
  <xdr:twoCellAnchor>
    <xdr:from>
      <xdr:col>1</xdr:col>
      <xdr:colOff>335280</xdr:colOff>
      <xdr:row>84</xdr:row>
      <xdr:rowOff>7620</xdr:rowOff>
    </xdr:from>
    <xdr:to>
      <xdr:col>3</xdr:col>
      <xdr:colOff>297180</xdr:colOff>
      <xdr:row>87</xdr:row>
      <xdr:rowOff>175260</xdr:rowOff>
    </xdr:to>
    <xdr:sp macro="[0]!Module1.Step7" textlink="">
      <xdr:nvSpPr>
        <xdr:cNvPr id="18" name="Down Arrow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1165860" y="7170420"/>
          <a:ext cx="1196340" cy="716280"/>
        </a:xfrm>
        <a:prstGeom prst="downArrow">
          <a:avLst>
            <a:gd name="adj1" fmla="val 50000"/>
            <a:gd name="adj2" fmla="val 372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-7</a:t>
          </a:r>
        </a:p>
      </xdr:txBody>
    </xdr:sp>
    <xdr:clientData/>
  </xdr:twoCellAnchor>
  <xdr:twoCellAnchor>
    <xdr:from>
      <xdr:col>6</xdr:col>
      <xdr:colOff>15240</xdr:colOff>
      <xdr:row>90</xdr:row>
      <xdr:rowOff>0</xdr:rowOff>
    </xdr:from>
    <xdr:to>
      <xdr:col>7</xdr:col>
      <xdr:colOff>281940</xdr:colOff>
      <xdr:row>93</xdr:row>
      <xdr:rowOff>175260</xdr:rowOff>
    </xdr:to>
    <xdr:sp macro="[0]!Module1.Step8" textlink="">
      <xdr:nvSpPr>
        <xdr:cNvPr id="19" name="Right Arrow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3931920" y="8282940"/>
          <a:ext cx="883920" cy="7315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Step-8</a:t>
          </a:r>
        </a:p>
      </xdr:txBody>
    </xdr:sp>
    <xdr:clientData/>
  </xdr:twoCellAnchor>
  <xdr:twoCellAnchor>
    <xdr:from>
      <xdr:col>1</xdr:col>
      <xdr:colOff>335280</xdr:colOff>
      <xdr:row>107</xdr:row>
      <xdr:rowOff>7620</xdr:rowOff>
    </xdr:from>
    <xdr:to>
      <xdr:col>3</xdr:col>
      <xdr:colOff>297180</xdr:colOff>
      <xdr:row>110</xdr:row>
      <xdr:rowOff>175260</xdr:rowOff>
    </xdr:to>
    <xdr:sp macro="[0]!Module1.Step9" textlink="">
      <xdr:nvSpPr>
        <xdr:cNvPr id="20" name="Down Arrow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1165860" y="7170420"/>
          <a:ext cx="1196340" cy="716280"/>
        </a:xfrm>
        <a:prstGeom prst="downArrow">
          <a:avLst>
            <a:gd name="adj1" fmla="val 50000"/>
            <a:gd name="adj2" fmla="val 372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-9</a:t>
          </a:r>
        </a:p>
      </xdr:txBody>
    </xdr:sp>
    <xdr:clientData/>
  </xdr:twoCellAnchor>
  <xdr:twoCellAnchor>
    <xdr:from>
      <xdr:col>6</xdr:col>
      <xdr:colOff>15240</xdr:colOff>
      <xdr:row>113</xdr:row>
      <xdr:rowOff>0</xdr:rowOff>
    </xdr:from>
    <xdr:to>
      <xdr:col>7</xdr:col>
      <xdr:colOff>281940</xdr:colOff>
      <xdr:row>116</xdr:row>
      <xdr:rowOff>175260</xdr:rowOff>
    </xdr:to>
    <xdr:sp macro="[0]!Module1.Step10" textlink="">
      <xdr:nvSpPr>
        <xdr:cNvPr id="21" name="Right Arrow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3931920" y="8282940"/>
          <a:ext cx="883920" cy="7315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Step-10</a:t>
          </a:r>
        </a:p>
      </xdr:txBody>
    </xdr:sp>
    <xdr:clientData/>
  </xdr:twoCellAnchor>
  <xdr:twoCellAnchor>
    <xdr:from>
      <xdr:col>3</xdr:col>
      <xdr:colOff>0</xdr:colOff>
      <xdr:row>130</xdr:row>
      <xdr:rowOff>7620</xdr:rowOff>
    </xdr:from>
    <xdr:to>
      <xdr:col>5</xdr:col>
      <xdr:colOff>7620</xdr:colOff>
      <xdr:row>132</xdr:row>
      <xdr:rowOff>175260</xdr:rowOff>
    </xdr:to>
    <xdr:sp macro="[0]!Module1.BestProject" textlink="">
      <xdr:nvSpPr>
        <xdr:cNvPr id="23" name="Rectangle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2065020" y="24025860"/>
          <a:ext cx="12420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Best Project</a:t>
          </a:r>
        </a:p>
      </xdr:txBody>
    </xdr:sp>
    <xdr:clientData/>
  </xdr:twoCellAnchor>
  <xdr:twoCellAnchor>
    <xdr:from>
      <xdr:col>6</xdr:col>
      <xdr:colOff>15240</xdr:colOff>
      <xdr:row>122</xdr:row>
      <xdr:rowOff>0</xdr:rowOff>
    </xdr:from>
    <xdr:to>
      <xdr:col>7</xdr:col>
      <xdr:colOff>441960</xdr:colOff>
      <xdr:row>125</xdr:row>
      <xdr:rowOff>175260</xdr:rowOff>
    </xdr:to>
    <xdr:sp macro="[0]!Module1.Step11" textlink="">
      <xdr:nvSpPr>
        <xdr:cNvPr id="24" name="Right Arrow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3931920" y="22555200"/>
          <a:ext cx="1043940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-11</a:t>
          </a:r>
        </a:p>
      </xdr:txBody>
    </xdr:sp>
    <xdr:clientData/>
  </xdr:twoCellAnchor>
  <xdr:twoCellAnchor>
    <xdr:from>
      <xdr:col>8</xdr:col>
      <xdr:colOff>0</xdr:colOff>
      <xdr:row>130</xdr:row>
      <xdr:rowOff>0</xdr:rowOff>
    </xdr:from>
    <xdr:to>
      <xdr:col>10</xdr:col>
      <xdr:colOff>15240</xdr:colOff>
      <xdr:row>132</xdr:row>
      <xdr:rowOff>175260</xdr:rowOff>
    </xdr:to>
    <xdr:sp macro="[0]!Module1.WorstProject" textlink="">
      <xdr:nvSpPr>
        <xdr:cNvPr id="25" name="Rectangle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5151120" y="24018240"/>
          <a:ext cx="1409700" cy="5410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Worst Project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205740</xdr:colOff>
      <xdr:row>7</xdr:row>
      <xdr:rowOff>0</xdr:rowOff>
    </xdr:from>
    <xdr:to>
      <xdr:col>9</xdr:col>
      <xdr:colOff>342900</xdr:colOff>
      <xdr:row>10</xdr:row>
      <xdr:rowOff>30480</xdr:rowOff>
    </xdr:to>
    <xdr:sp macro="[0]!Module2.Step1" textlink="">
      <xdr:nvSpPr>
        <xdr:cNvPr id="2" name="Down Arrow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3886200" y="1280160"/>
          <a:ext cx="118872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</a:t>
          </a:r>
        </a:p>
      </xdr:txBody>
    </xdr:sp>
    <xdr:clientData/>
  </xdr:twoCellAnchor>
  <xdr:twoCellAnchor>
    <xdr:from>
      <xdr:col>1</xdr:col>
      <xdr:colOff>266700</xdr:colOff>
      <xdr:row>18</xdr:row>
      <xdr:rowOff>15240</xdr:rowOff>
    </xdr:from>
    <xdr:to>
      <xdr:col>3</xdr:col>
      <xdr:colOff>403860</xdr:colOff>
      <xdr:row>21</xdr:row>
      <xdr:rowOff>45720</xdr:rowOff>
    </xdr:to>
    <xdr:sp macro="[0]!Module2.Step2" textlink="">
      <xdr:nvSpPr>
        <xdr:cNvPr id="3" name="Down Arrow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891540" y="330708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STEP-2</a:t>
          </a:r>
        </a:p>
      </xdr:txBody>
    </xdr:sp>
    <xdr:clientData/>
  </xdr:twoCellAnchor>
  <xdr:twoCellAnchor>
    <xdr:from>
      <xdr:col>5</xdr:col>
      <xdr:colOff>0</xdr:colOff>
      <xdr:row>23</xdr:row>
      <xdr:rowOff>99060</xdr:rowOff>
    </xdr:from>
    <xdr:to>
      <xdr:col>6</xdr:col>
      <xdr:colOff>205740</xdr:colOff>
      <xdr:row>29</xdr:row>
      <xdr:rowOff>91440</xdr:rowOff>
    </xdr:to>
    <xdr:sp macro="[0]!Module2.Step3" textlink="">
      <xdr:nvSpPr>
        <xdr:cNvPr id="4" name="Right Arrow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3124200" y="4305300"/>
          <a:ext cx="830580" cy="1089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Step-3</a:t>
          </a:r>
        </a:p>
      </xdr:txBody>
    </xdr:sp>
    <xdr:clientData/>
  </xdr:twoCellAnchor>
  <xdr:twoCellAnchor>
    <xdr:from>
      <xdr:col>7</xdr:col>
      <xdr:colOff>205740</xdr:colOff>
      <xdr:row>45</xdr:row>
      <xdr:rowOff>0</xdr:rowOff>
    </xdr:from>
    <xdr:to>
      <xdr:col>9</xdr:col>
      <xdr:colOff>342900</xdr:colOff>
      <xdr:row>48</xdr:row>
      <xdr:rowOff>30480</xdr:rowOff>
    </xdr:to>
    <xdr:sp macro="[0]!Module2.Step4" textlink="">
      <xdr:nvSpPr>
        <xdr:cNvPr id="5" name="Down Arrow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4579620" y="128016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STEP-4</a:t>
          </a:r>
        </a:p>
      </xdr:txBody>
    </xdr:sp>
    <xdr:clientData/>
  </xdr:twoCellAnchor>
  <xdr:twoCellAnchor>
    <xdr:from>
      <xdr:col>1</xdr:col>
      <xdr:colOff>266700</xdr:colOff>
      <xdr:row>56</xdr:row>
      <xdr:rowOff>15240</xdr:rowOff>
    </xdr:from>
    <xdr:to>
      <xdr:col>3</xdr:col>
      <xdr:colOff>403860</xdr:colOff>
      <xdr:row>59</xdr:row>
      <xdr:rowOff>45720</xdr:rowOff>
    </xdr:to>
    <xdr:sp macro="[0]!Module2.Step5" textlink="">
      <xdr:nvSpPr>
        <xdr:cNvPr id="6" name="Down Arrow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891540" y="330708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STEP-5</a:t>
          </a:r>
        </a:p>
      </xdr:txBody>
    </xdr:sp>
    <xdr:clientData/>
  </xdr:twoCellAnchor>
  <xdr:twoCellAnchor>
    <xdr:from>
      <xdr:col>5</xdr:col>
      <xdr:colOff>0</xdr:colOff>
      <xdr:row>61</xdr:row>
      <xdr:rowOff>99060</xdr:rowOff>
    </xdr:from>
    <xdr:to>
      <xdr:col>6</xdr:col>
      <xdr:colOff>205740</xdr:colOff>
      <xdr:row>67</xdr:row>
      <xdr:rowOff>91440</xdr:rowOff>
    </xdr:to>
    <xdr:sp macro="[0]!Module2.Step6" textlink="">
      <xdr:nvSpPr>
        <xdr:cNvPr id="7" name="Right Arrow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3124200" y="4305300"/>
          <a:ext cx="830580" cy="1089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Step-6</a:t>
          </a:r>
        </a:p>
      </xdr:txBody>
    </xdr:sp>
    <xdr:clientData/>
  </xdr:twoCellAnchor>
  <xdr:twoCellAnchor>
    <xdr:from>
      <xdr:col>7</xdr:col>
      <xdr:colOff>205740</xdr:colOff>
      <xdr:row>80</xdr:row>
      <xdr:rowOff>0</xdr:rowOff>
    </xdr:from>
    <xdr:to>
      <xdr:col>9</xdr:col>
      <xdr:colOff>342900</xdr:colOff>
      <xdr:row>83</xdr:row>
      <xdr:rowOff>30480</xdr:rowOff>
    </xdr:to>
    <xdr:sp macro="[0]!Module2.Step7" textlink="">
      <xdr:nvSpPr>
        <xdr:cNvPr id="8" name="Down Arrow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579620" y="128016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STEP-7</a:t>
          </a:r>
        </a:p>
      </xdr:txBody>
    </xdr:sp>
    <xdr:clientData/>
  </xdr:twoCellAnchor>
  <xdr:twoCellAnchor>
    <xdr:from>
      <xdr:col>1</xdr:col>
      <xdr:colOff>266700</xdr:colOff>
      <xdr:row>91</xdr:row>
      <xdr:rowOff>15240</xdr:rowOff>
    </xdr:from>
    <xdr:to>
      <xdr:col>3</xdr:col>
      <xdr:colOff>403860</xdr:colOff>
      <xdr:row>94</xdr:row>
      <xdr:rowOff>45720</xdr:rowOff>
    </xdr:to>
    <xdr:sp macro="[0]!Module2.Step8" textlink="">
      <xdr:nvSpPr>
        <xdr:cNvPr id="9" name="Down Arrow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891540" y="330708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STEP-8</a:t>
          </a:r>
        </a:p>
      </xdr:txBody>
    </xdr:sp>
    <xdr:clientData/>
  </xdr:twoCellAnchor>
  <xdr:twoCellAnchor>
    <xdr:from>
      <xdr:col>5</xdr:col>
      <xdr:colOff>0</xdr:colOff>
      <xdr:row>96</xdr:row>
      <xdr:rowOff>99060</xdr:rowOff>
    </xdr:from>
    <xdr:to>
      <xdr:col>6</xdr:col>
      <xdr:colOff>205740</xdr:colOff>
      <xdr:row>102</xdr:row>
      <xdr:rowOff>91440</xdr:rowOff>
    </xdr:to>
    <xdr:sp macro="[0]!Module2.Step9" textlink="">
      <xdr:nvSpPr>
        <xdr:cNvPr id="10" name="Right Arrow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3124200" y="4305300"/>
          <a:ext cx="830580" cy="1089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Step-9</a:t>
          </a:r>
        </a:p>
      </xdr:txBody>
    </xdr:sp>
    <xdr:clientData/>
  </xdr:twoCellAnchor>
  <xdr:twoCellAnchor>
    <xdr:from>
      <xdr:col>7</xdr:col>
      <xdr:colOff>224790</xdr:colOff>
      <xdr:row>114</xdr:row>
      <xdr:rowOff>0</xdr:rowOff>
    </xdr:from>
    <xdr:to>
      <xdr:col>9</xdr:col>
      <xdr:colOff>361950</xdr:colOff>
      <xdr:row>117</xdr:row>
      <xdr:rowOff>30480</xdr:rowOff>
    </xdr:to>
    <xdr:sp macro="[0]!Module2.Step10" textlink="">
      <xdr:nvSpPr>
        <xdr:cNvPr id="11" name="Down Arrow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4558665" y="21717000"/>
          <a:ext cx="1375410" cy="6019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STEP-10</a:t>
          </a:r>
        </a:p>
      </xdr:txBody>
    </xdr:sp>
    <xdr:clientData/>
  </xdr:twoCellAnchor>
  <xdr:twoCellAnchor>
    <xdr:from>
      <xdr:col>1</xdr:col>
      <xdr:colOff>266700</xdr:colOff>
      <xdr:row>125</xdr:row>
      <xdr:rowOff>15240</xdr:rowOff>
    </xdr:from>
    <xdr:to>
      <xdr:col>3</xdr:col>
      <xdr:colOff>403860</xdr:colOff>
      <xdr:row>128</xdr:row>
      <xdr:rowOff>45720</xdr:rowOff>
    </xdr:to>
    <xdr:sp macro="[0]!Module2.Step11" textlink="">
      <xdr:nvSpPr>
        <xdr:cNvPr id="12" name="Down Arrow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91540" y="330708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STEP-11</a:t>
          </a:r>
        </a:p>
      </xdr:txBody>
    </xdr:sp>
    <xdr:clientData/>
  </xdr:twoCellAnchor>
  <xdr:twoCellAnchor>
    <xdr:from>
      <xdr:col>5</xdr:col>
      <xdr:colOff>0</xdr:colOff>
      <xdr:row>130</xdr:row>
      <xdr:rowOff>108585</xdr:rowOff>
    </xdr:from>
    <xdr:to>
      <xdr:col>6</xdr:col>
      <xdr:colOff>281940</xdr:colOff>
      <xdr:row>136</xdr:row>
      <xdr:rowOff>100965</xdr:rowOff>
    </xdr:to>
    <xdr:sp macro="[0]!Step12" textlink="">
      <xdr:nvSpPr>
        <xdr:cNvPr id="13" name="Right Arrow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3095625" y="24873585"/>
          <a:ext cx="901065" cy="11353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Step-12</a:t>
          </a:r>
        </a:p>
      </xdr:txBody>
    </xdr:sp>
    <xdr:clientData/>
  </xdr:twoCellAnchor>
  <xdr:twoCellAnchor>
    <xdr:from>
      <xdr:col>7</xdr:col>
      <xdr:colOff>205740</xdr:colOff>
      <xdr:row>148</xdr:row>
      <xdr:rowOff>0</xdr:rowOff>
    </xdr:from>
    <xdr:to>
      <xdr:col>9</xdr:col>
      <xdr:colOff>342900</xdr:colOff>
      <xdr:row>151</xdr:row>
      <xdr:rowOff>30480</xdr:rowOff>
    </xdr:to>
    <xdr:sp macro="[0]!Step13" textlink="">
      <xdr:nvSpPr>
        <xdr:cNvPr id="14" name="Down Arrow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4579620" y="128016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STEP-13</a:t>
          </a:r>
        </a:p>
      </xdr:txBody>
    </xdr:sp>
    <xdr:clientData/>
  </xdr:twoCellAnchor>
  <xdr:twoCellAnchor>
    <xdr:from>
      <xdr:col>1</xdr:col>
      <xdr:colOff>266700</xdr:colOff>
      <xdr:row>159</xdr:row>
      <xdr:rowOff>15240</xdr:rowOff>
    </xdr:from>
    <xdr:to>
      <xdr:col>3</xdr:col>
      <xdr:colOff>403860</xdr:colOff>
      <xdr:row>162</xdr:row>
      <xdr:rowOff>45720</xdr:rowOff>
    </xdr:to>
    <xdr:sp macro="[0]!Step14" textlink="">
      <xdr:nvSpPr>
        <xdr:cNvPr id="15" name="Down Arrow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891540" y="330708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STEP-14</a:t>
          </a:r>
        </a:p>
      </xdr:txBody>
    </xdr:sp>
    <xdr:clientData/>
  </xdr:twoCellAnchor>
  <xdr:twoCellAnchor>
    <xdr:from>
      <xdr:col>5</xdr:col>
      <xdr:colOff>0</xdr:colOff>
      <xdr:row>164</xdr:row>
      <xdr:rowOff>99060</xdr:rowOff>
    </xdr:from>
    <xdr:to>
      <xdr:col>6</xdr:col>
      <xdr:colOff>304800</xdr:colOff>
      <xdr:row>170</xdr:row>
      <xdr:rowOff>91440</xdr:rowOff>
    </xdr:to>
    <xdr:sp macro="[0]!Step15" textlink="">
      <xdr:nvSpPr>
        <xdr:cNvPr id="16" name="Right Arrow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3095625" y="31341060"/>
          <a:ext cx="923925" cy="11353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Step-15</a:t>
          </a:r>
        </a:p>
      </xdr:txBody>
    </xdr:sp>
    <xdr:clientData/>
  </xdr:twoCellAnchor>
  <xdr:twoCellAnchor>
    <xdr:from>
      <xdr:col>7</xdr:col>
      <xdr:colOff>205740</xdr:colOff>
      <xdr:row>182</xdr:row>
      <xdr:rowOff>0</xdr:rowOff>
    </xdr:from>
    <xdr:to>
      <xdr:col>9</xdr:col>
      <xdr:colOff>342900</xdr:colOff>
      <xdr:row>185</xdr:row>
      <xdr:rowOff>30480</xdr:rowOff>
    </xdr:to>
    <xdr:sp macro="[0]!Step16" textlink="">
      <xdr:nvSpPr>
        <xdr:cNvPr id="17" name="Down Arrow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4579620" y="1280160"/>
          <a:ext cx="1386840" cy="5791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STEP-16</a:t>
          </a:r>
        </a:p>
      </xdr:txBody>
    </xdr:sp>
    <xdr:clientData/>
  </xdr:twoCellAnchor>
  <xdr:twoCellAnchor>
    <xdr:from>
      <xdr:col>1</xdr:col>
      <xdr:colOff>276225</xdr:colOff>
      <xdr:row>193</xdr:row>
      <xdr:rowOff>15240</xdr:rowOff>
    </xdr:from>
    <xdr:to>
      <xdr:col>3</xdr:col>
      <xdr:colOff>413385</xdr:colOff>
      <xdr:row>196</xdr:row>
      <xdr:rowOff>45720</xdr:rowOff>
    </xdr:to>
    <xdr:sp macro="[0]!Step17" textlink="">
      <xdr:nvSpPr>
        <xdr:cNvPr id="18" name="Down Arrow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895350" y="36781740"/>
          <a:ext cx="1375410" cy="6019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STEP-17</a:t>
          </a:r>
        </a:p>
      </xdr:txBody>
    </xdr:sp>
    <xdr:clientData/>
  </xdr:twoCellAnchor>
  <xdr:twoCellAnchor>
    <xdr:from>
      <xdr:col>5</xdr:col>
      <xdr:colOff>0</xdr:colOff>
      <xdr:row>198</xdr:row>
      <xdr:rowOff>99060</xdr:rowOff>
    </xdr:from>
    <xdr:to>
      <xdr:col>6</xdr:col>
      <xdr:colOff>285750</xdr:colOff>
      <xdr:row>204</xdr:row>
      <xdr:rowOff>91440</xdr:rowOff>
    </xdr:to>
    <xdr:sp macro="[0]!Step18" textlink="">
      <xdr:nvSpPr>
        <xdr:cNvPr id="19" name="Right Arrow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3095625" y="37818060"/>
          <a:ext cx="904875" cy="11353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Step-18</a:t>
          </a:r>
        </a:p>
      </xdr:txBody>
    </xdr:sp>
    <xdr:clientData/>
  </xdr:twoCellAnchor>
  <xdr:twoCellAnchor>
    <xdr:from>
      <xdr:col>8</xdr:col>
      <xdr:colOff>15240</xdr:colOff>
      <xdr:row>212</xdr:row>
      <xdr:rowOff>15240</xdr:rowOff>
    </xdr:from>
    <xdr:to>
      <xdr:col>9</xdr:col>
      <xdr:colOff>441960</xdr:colOff>
      <xdr:row>216</xdr:row>
      <xdr:rowOff>7620</xdr:rowOff>
    </xdr:to>
    <xdr:sp macro="[0]!Step19" textlink="">
      <xdr:nvSpPr>
        <xdr:cNvPr id="20" name="Right Arrow 19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5135880" y="38785800"/>
          <a:ext cx="1066800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-19</a:t>
          </a:r>
        </a:p>
      </xdr:txBody>
    </xdr:sp>
    <xdr:clientData/>
  </xdr:twoCellAnchor>
  <xdr:twoCellAnchor>
    <xdr:from>
      <xdr:col>4</xdr:col>
      <xdr:colOff>0</xdr:colOff>
      <xdr:row>222</xdr:row>
      <xdr:rowOff>7620</xdr:rowOff>
    </xdr:from>
    <xdr:to>
      <xdr:col>6</xdr:col>
      <xdr:colOff>7620</xdr:colOff>
      <xdr:row>224</xdr:row>
      <xdr:rowOff>175260</xdr:rowOff>
    </xdr:to>
    <xdr:sp macro="[0]!Module2.BestProject" textlink="">
      <xdr:nvSpPr>
        <xdr:cNvPr id="21" name="Rectangle 20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2065020" y="24025860"/>
          <a:ext cx="12420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Best Project</a:t>
          </a:r>
        </a:p>
      </xdr:txBody>
    </xdr:sp>
    <xdr:clientData/>
  </xdr:twoCellAnchor>
  <xdr:twoCellAnchor>
    <xdr:from>
      <xdr:col>8</xdr:col>
      <xdr:colOff>624840</xdr:colOff>
      <xdr:row>222</xdr:row>
      <xdr:rowOff>0</xdr:rowOff>
    </xdr:from>
    <xdr:to>
      <xdr:col>11</xdr:col>
      <xdr:colOff>15240</xdr:colOff>
      <xdr:row>224</xdr:row>
      <xdr:rowOff>175260</xdr:rowOff>
    </xdr:to>
    <xdr:sp macro="[0]!Module2.WorstProject" textlink="">
      <xdr:nvSpPr>
        <xdr:cNvPr id="22" name="Rectangle 21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5745480" y="40599360"/>
          <a:ext cx="1310640" cy="5410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/>
            <a:t>Worst Project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8:N132"/>
  <sheetViews>
    <sheetView tabSelected="1" topLeftCell="A106" zoomScaleNormal="100" workbookViewId="0">
      <selection activeCell="E136" sqref="E136"/>
    </sheetView>
  </sheetViews>
  <sheetFormatPr defaultColWidth="9" defaultRowHeight="14.4" x14ac:dyDescent="0.3"/>
  <cols>
    <col min="1" max="1" width="12.109375" bestFit="1" customWidth="1"/>
    <col min="9" max="9" width="11.33203125" bestFit="1" customWidth="1"/>
  </cols>
  <sheetData>
    <row r="8" spans="1:5" x14ac:dyDescent="0.3">
      <c r="B8" s="4" t="s">
        <v>0</v>
      </c>
      <c r="C8" s="4" t="s">
        <v>1</v>
      </c>
      <c r="D8" s="4" t="s">
        <v>2</v>
      </c>
      <c r="E8" s="4" t="s">
        <v>3</v>
      </c>
    </row>
    <row r="9" spans="1:5" x14ac:dyDescent="0.3">
      <c r="A9" s="4" t="s">
        <v>0</v>
      </c>
      <c r="B9" s="2">
        <v>1</v>
      </c>
      <c r="C9" s="2">
        <v>2</v>
      </c>
      <c r="D9" s="2">
        <v>4</v>
      </c>
      <c r="E9" s="2">
        <v>3</v>
      </c>
    </row>
    <row r="10" spans="1:5" x14ac:dyDescent="0.3">
      <c r="A10" s="4" t="s">
        <v>1</v>
      </c>
      <c r="B10" s="3"/>
      <c r="C10" s="2">
        <v>1</v>
      </c>
      <c r="D10" s="2">
        <v>3</v>
      </c>
      <c r="E10" s="2">
        <v>3</v>
      </c>
    </row>
    <row r="11" spans="1:5" x14ac:dyDescent="0.3">
      <c r="A11" s="4" t="s">
        <v>2</v>
      </c>
      <c r="B11" s="3"/>
      <c r="C11" s="3"/>
      <c r="D11" s="2">
        <v>1</v>
      </c>
      <c r="E11" s="2">
        <v>2</v>
      </c>
    </row>
    <row r="12" spans="1:5" x14ac:dyDescent="0.3">
      <c r="A12" s="4" t="s">
        <v>3</v>
      </c>
      <c r="B12" s="3"/>
      <c r="C12" s="3"/>
      <c r="D12" s="3"/>
      <c r="E12" s="2">
        <v>1</v>
      </c>
    </row>
    <row r="13" spans="1:5" x14ac:dyDescent="0.3">
      <c r="B13" s="1"/>
      <c r="C13" s="1"/>
      <c r="D13" s="1"/>
      <c r="E13" s="1"/>
    </row>
    <row r="14" spans="1:5" x14ac:dyDescent="0.3">
      <c r="C14">
        <v>0</v>
      </c>
    </row>
    <row r="15" spans="1:5" x14ac:dyDescent="0.3">
      <c r="C15">
        <v>1</v>
      </c>
    </row>
    <row r="19" spans="1:14" x14ac:dyDescent="0.3">
      <c r="B19" s="4" t="s">
        <v>0</v>
      </c>
      <c r="C19" s="4" t="s">
        <v>1</v>
      </c>
      <c r="D19" s="4" t="s">
        <v>2</v>
      </c>
      <c r="E19" s="4" t="s">
        <v>3</v>
      </c>
      <c r="J19" s="4" t="s">
        <v>0</v>
      </c>
      <c r="K19" s="4" t="s">
        <v>1</v>
      </c>
      <c r="L19" s="4" t="s">
        <v>2</v>
      </c>
      <c r="M19" s="4" t="s">
        <v>3</v>
      </c>
      <c r="N19" s="4" t="s">
        <v>13</v>
      </c>
    </row>
    <row r="20" spans="1:14" x14ac:dyDescent="0.3">
      <c r="A20" s="4" t="s">
        <v>0</v>
      </c>
      <c r="B20" s="2">
        <f>IF($C$15=1,B9,0)</f>
        <v>1</v>
      </c>
      <c r="C20" s="2">
        <f t="shared" ref="C20:E22" si="0">IF($C$15=1,C9,0)</f>
        <v>2</v>
      </c>
      <c r="D20" s="2">
        <f t="shared" si="0"/>
        <v>4</v>
      </c>
      <c r="E20" s="2">
        <f t="shared" si="0"/>
        <v>3</v>
      </c>
      <c r="I20" s="4" t="s">
        <v>0</v>
      </c>
      <c r="J20" s="2">
        <f>IF(AND($G$21=1,$C$15=1),B20/B$24,0)</f>
        <v>0.48</v>
      </c>
      <c r="K20" s="2">
        <f t="shared" ref="K20:M20" si="1">IF(AND($G$21=1,$C$15=1),C20/C$24,0)</f>
        <v>0.54545454545454541</v>
      </c>
      <c r="L20" s="2">
        <f t="shared" si="1"/>
        <v>0.47058823529411764</v>
      </c>
      <c r="M20" s="2">
        <f t="shared" si="1"/>
        <v>0.33333333333333331</v>
      </c>
      <c r="N20" s="6">
        <f>AVERAGE(J20:M20)</f>
        <v>0.4573440285204991</v>
      </c>
    </row>
    <row r="21" spans="1:14" x14ac:dyDescent="0.3">
      <c r="A21" s="4" t="s">
        <v>1</v>
      </c>
      <c r="B21" s="3">
        <f>IF($C$15=1,1/C9,0)</f>
        <v>0.5</v>
      </c>
      <c r="C21" s="2">
        <f t="shared" si="0"/>
        <v>1</v>
      </c>
      <c r="D21" s="2">
        <f t="shared" si="0"/>
        <v>3</v>
      </c>
      <c r="E21" s="2">
        <f t="shared" si="0"/>
        <v>3</v>
      </c>
      <c r="G21">
        <v>1</v>
      </c>
      <c r="I21" s="4" t="s">
        <v>1</v>
      </c>
      <c r="J21" s="2">
        <f t="shared" ref="J21:J23" si="2">IF(AND($G$21=1,$C$15=1),B21/B$24,0)</f>
        <v>0.24</v>
      </c>
      <c r="K21" s="2">
        <f t="shared" ref="K21:K23" si="3">IF(AND($G$21=1,$C$15=1),C21/C$24,0)</f>
        <v>0.27272727272727271</v>
      </c>
      <c r="L21" s="2">
        <f t="shared" ref="L21:L23" si="4">IF(AND($G$21=1,$C$15=1),D21/D$24,0)</f>
        <v>0.35294117647058826</v>
      </c>
      <c r="M21" s="2">
        <f t="shared" ref="M21:M23" si="5">IF(AND($G$21=1,$C$15=1),E21/E$24,0)</f>
        <v>0.33333333333333331</v>
      </c>
      <c r="N21" s="6">
        <f t="shared" ref="N21:N23" si="6">AVERAGE(J21:M21)</f>
        <v>0.29975044563279857</v>
      </c>
    </row>
    <row r="22" spans="1:14" x14ac:dyDescent="0.3">
      <c r="A22" s="4" t="s">
        <v>2</v>
      </c>
      <c r="B22" s="3">
        <f>IF($C$15=1,1/D9,0)</f>
        <v>0.25</v>
      </c>
      <c r="C22" s="3">
        <f>IF($C$15=1,1/D10,0)</f>
        <v>0.33333333333333331</v>
      </c>
      <c r="D22" s="2">
        <f t="shared" si="0"/>
        <v>1</v>
      </c>
      <c r="E22" s="2">
        <f t="shared" ref="E22" si="7">IF($C$15=1,E11,0)</f>
        <v>2</v>
      </c>
      <c r="I22" s="4" t="s">
        <v>2</v>
      </c>
      <c r="J22" s="2">
        <f t="shared" si="2"/>
        <v>0.12</v>
      </c>
      <c r="K22" s="2">
        <f t="shared" si="3"/>
        <v>9.0909090909090898E-2</v>
      </c>
      <c r="L22" s="2">
        <f t="shared" si="4"/>
        <v>0.11764705882352941</v>
      </c>
      <c r="M22" s="2">
        <f t="shared" si="5"/>
        <v>0.22222222222222221</v>
      </c>
      <c r="N22" s="6">
        <f t="shared" si="6"/>
        <v>0.13769459298871062</v>
      </c>
    </row>
    <row r="23" spans="1:14" x14ac:dyDescent="0.3">
      <c r="A23" s="4" t="s">
        <v>3</v>
      </c>
      <c r="B23" s="3">
        <f>IF($C$15=1,1/E9,0)</f>
        <v>0.33333333333333331</v>
      </c>
      <c r="C23" s="3">
        <f>IF($C$15=1,1/E10,0)</f>
        <v>0.33333333333333331</v>
      </c>
      <c r="D23" s="3">
        <f>IF($C$15=1,1/E11,0)</f>
        <v>0.5</v>
      </c>
      <c r="E23" s="2">
        <f t="shared" ref="E23" si="8">IF($C$15=1,E12,0)</f>
        <v>1</v>
      </c>
      <c r="I23" s="4" t="s">
        <v>3</v>
      </c>
      <c r="J23" s="2">
        <f t="shared" si="2"/>
        <v>0.15999999999999998</v>
      </c>
      <c r="K23" s="2">
        <f t="shared" si="3"/>
        <v>9.0909090909090898E-2</v>
      </c>
      <c r="L23" s="2">
        <f t="shared" si="4"/>
        <v>5.8823529411764705E-2</v>
      </c>
      <c r="M23" s="2">
        <f t="shared" si="5"/>
        <v>0.1111111111111111</v>
      </c>
      <c r="N23" s="6">
        <f t="shared" si="6"/>
        <v>0.10521093285799167</v>
      </c>
    </row>
    <row r="24" spans="1:14" x14ac:dyDescent="0.3">
      <c r="A24" s="5" t="s">
        <v>12</v>
      </c>
      <c r="B24" s="6">
        <f>SUM(B20:B23)</f>
        <v>2.0833333333333335</v>
      </c>
      <c r="C24" s="6">
        <f t="shared" ref="C24:E24" si="9">SUM(C20:C23)</f>
        <v>3.666666666666667</v>
      </c>
      <c r="D24" s="6">
        <f t="shared" si="9"/>
        <v>8.5</v>
      </c>
      <c r="E24" s="6">
        <f t="shared" si="9"/>
        <v>9</v>
      </c>
      <c r="N24" s="6">
        <f>SUM(N20:N23)</f>
        <v>0.99999999999999989</v>
      </c>
    </row>
    <row r="33" spans="1:14" ht="15" thickBot="1" x14ac:dyDescent="0.35"/>
    <row r="34" spans="1:14" ht="15.6" thickTop="1" thickBot="1" x14ac:dyDescent="0.35">
      <c r="A34" s="8" t="s">
        <v>4</v>
      </c>
      <c r="B34" s="4" t="s">
        <v>5</v>
      </c>
      <c r="C34" s="4" t="s">
        <v>6</v>
      </c>
      <c r="D34" s="4" t="s">
        <v>7</v>
      </c>
      <c r="E34" s="4" t="s">
        <v>8</v>
      </c>
    </row>
    <row r="35" spans="1:14" ht="15" thickTop="1" x14ac:dyDescent="0.3">
      <c r="A35" s="4" t="s">
        <v>5</v>
      </c>
      <c r="B35" s="2">
        <v>1</v>
      </c>
      <c r="C35" s="2">
        <v>5</v>
      </c>
      <c r="D35" s="2">
        <v>6</v>
      </c>
      <c r="E35" s="2">
        <f>1/3</f>
        <v>0.33333333333333331</v>
      </c>
    </row>
    <row r="36" spans="1:14" x14ac:dyDescent="0.3">
      <c r="A36" s="4" t="s">
        <v>6</v>
      </c>
      <c r="B36" s="3"/>
      <c r="C36" s="2">
        <v>1</v>
      </c>
      <c r="D36" s="2">
        <v>2</v>
      </c>
      <c r="E36" s="7">
        <f>1/6</f>
        <v>0.16666666666666666</v>
      </c>
    </row>
    <row r="37" spans="1:14" x14ac:dyDescent="0.3">
      <c r="A37" s="4" t="s">
        <v>7</v>
      </c>
      <c r="B37" s="3"/>
      <c r="C37" s="3"/>
      <c r="D37" s="2">
        <v>1</v>
      </c>
      <c r="E37" s="2">
        <f>1/8</f>
        <v>0.125</v>
      </c>
    </row>
    <row r="38" spans="1:14" x14ac:dyDescent="0.3">
      <c r="A38" s="4" t="s">
        <v>8</v>
      </c>
      <c r="B38" s="3"/>
      <c r="C38" s="3"/>
      <c r="D38" s="3"/>
      <c r="E38" s="2">
        <v>1</v>
      </c>
    </row>
    <row r="39" spans="1:14" x14ac:dyDescent="0.3">
      <c r="B39" s="1"/>
      <c r="C39" s="1"/>
      <c r="D39" s="1"/>
      <c r="E39" s="1"/>
    </row>
    <row r="40" spans="1:14" x14ac:dyDescent="0.3">
      <c r="C40">
        <v>1</v>
      </c>
    </row>
    <row r="41" spans="1:14" x14ac:dyDescent="0.3">
      <c r="C41">
        <v>0</v>
      </c>
    </row>
    <row r="44" spans="1:14" ht="15" thickBot="1" x14ac:dyDescent="0.35"/>
    <row r="45" spans="1:14" ht="15.6" thickTop="1" thickBot="1" x14ac:dyDescent="0.35">
      <c r="A45" s="8" t="s">
        <v>4</v>
      </c>
      <c r="B45" s="4" t="s">
        <v>5</v>
      </c>
      <c r="C45" s="4" t="s">
        <v>6</v>
      </c>
      <c r="D45" s="4" t="s">
        <v>7</v>
      </c>
      <c r="E45" s="4" t="s">
        <v>8</v>
      </c>
      <c r="I45" s="8" t="s">
        <v>4</v>
      </c>
      <c r="J45" s="4" t="s">
        <v>5</v>
      </c>
      <c r="K45" s="4" t="s">
        <v>6</v>
      </c>
      <c r="L45" s="4" t="s">
        <v>7</v>
      </c>
      <c r="M45" s="4" t="s">
        <v>8</v>
      </c>
      <c r="N45" s="4" t="s">
        <v>13</v>
      </c>
    </row>
    <row r="46" spans="1:14" ht="15" thickTop="1" x14ac:dyDescent="0.3">
      <c r="A46" s="4" t="s">
        <v>5</v>
      </c>
      <c r="B46" s="2">
        <f>IF($C$40=1,B35,0)</f>
        <v>1</v>
      </c>
      <c r="C46" s="2">
        <f>IF($C$40=1,C35,0)</f>
        <v>5</v>
      </c>
      <c r="D46" s="2">
        <f>IF($C$40=1,D35,0)</f>
        <v>6</v>
      </c>
      <c r="E46" s="2">
        <f>IF($C$40=1,E35,0)</f>
        <v>0.33333333333333331</v>
      </c>
      <c r="I46" s="4" t="s">
        <v>5</v>
      </c>
      <c r="J46" s="2">
        <f>IF(AND($G$47=1,$C$40=1),B46/B$50,0)</f>
        <v>0.22900763358778622</v>
      </c>
      <c r="K46" s="2">
        <f t="shared" ref="K46:M46" si="10">IF(AND($G$47=1,$C$40=1),C46/C$50,0)</f>
        <v>0.4</v>
      </c>
      <c r="L46" s="2">
        <f t="shared" si="10"/>
        <v>0.35294117647058826</v>
      </c>
      <c r="M46" s="2">
        <f t="shared" si="10"/>
        <v>0.20512820512820512</v>
      </c>
      <c r="N46" s="6">
        <f>AVERAGE(J46:M46)</f>
        <v>0.29676925379664487</v>
      </c>
    </row>
    <row r="47" spans="1:14" x14ac:dyDescent="0.3">
      <c r="A47" s="4" t="s">
        <v>6</v>
      </c>
      <c r="B47" s="3">
        <f>IF($C$40=1,1/C35,0)</f>
        <v>0.2</v>
      </c>
      <c r="C47" s="2">
        <f>IF($C$40=1,C36,0)</f>
        <v>1</v>
      </c>
      <c r="D47" s="2">
        <f>IF($C$40=1,D36,0)</f>
        <v>2</v>
      </c>
      <c r="E47" s="2">
        <f>IF($C$40=1,E36,0)</f>
        <v>0.16666666666666666</v>
      </c>
      <c r="G47">
        <v>1</v>
      </c>
      <c r="I47" s="4" t="s">
        <v>6</v>
      </c>
      <c r="J47" s="2">
        <f t="shared" ref="J47:J49" si="11">IF(AND($G$47=1,$C$40=1),B47/B$50,0)</f>
        <v>4.5801526717557252E-2</v>
      </c>
      <c r="K47" s="2">
        <f t="shared" ref="K47:K49" si="12">IF(AND($G$47=1,$C$40=1),C47/C$50,0)</f>
        <v>0.08</v>
      </c>
      <c r="L47" s="2">
        <f t="shared" ref="L47:L49" si="13">IF(AND($G$47=1,$C$40=1),D47/D$50,0)</f>
        <v>0.11764705882352941</v>
      </c>
      <c r="M47" s="2">
        <f t="shared" ref="M47:M49" si="14">IF(AND($G$47=1,$C$40=1),E47/E$50,0)</f>
        <v>0.10256410256410256</v>
      </c>
      <c r="N47" s="6">
        <f t="shared" ref="N47:N49" si="15">AVERAGE(J47:M47)</f>
        <v>8.6503172026297315E-2</v>
      </c>
    </row>
    <row r="48" spans="1:14" x14ac:dyDescent="0.3">
      <c r="A48" s="4" t="s">
        <v>7</v>
      </c>
      <c r="B48" s="3">
        <f>IF($C$40=1,1/D35,0)</f>
        <v>0.16666666666666666</v>
      </c>
      <c r="C48" s="3">
        <f>IF($C$40=1,1/D36,0)</f>
        <v>0.5</v>
      </c>
      <c r="D48" s="2">
        <f>IF($C$40=1,D37,0)</f>
        <v>1</v>
      </c>
      <c r="E48" s="2">
        <f>IF($C$40=1,E37,0)</f>
        <v>0.125</v>
      </c>
      <c r="I48" s="4" t="s">
        <v>7</v>
      </c>
      <c r="J48" s="2">
        <f t="shared" si="11"/>
        <v>3.8167938931297704E-2</v>
      </c>
      <c r="K48" s="2">
        <f t="shared" si="12"/>
        <v>0.04</v>
      </c>
      <c r="L48" s="2">
        <f t="shared" si="13"/>
        <v>5.8823529411764705E-2</v>
      </c>
      <c r="M48" s="2">
        <f t="shared" si="14"/>
        <v>7.6923076923076927E-2</v>
      </c>
      <c r="N48" s="6">
        <f t="shared" si="15"/>
        <v>5.3478636316534836E-2</v>
      </c>
    </row>
    <row r="49" spans="1:14" x14ac:dyDescent="0.3">
      <c r="A49" s="4" t="s">
        <v>8</v>
      </c>
      <c r="B49" s="3">
        <f>IF($C$40=1,1/E35,0)</f>
        <v>3</v>
      </c>
      <c r="C49" s="3">
        <f>IF($C$40=1,1/E36,0)</f>
        <v>6</v>
      </c>
      <c r="D49" s="3">
        <f>IF($C$40=1,1/E37,0)</f>
        <v>8</v>
      </c>
      <c r="E49" s="2">
        <f>IF($C$40=1,E38,0)</f>
        <v>1</v>
      </c>
      <c r="I49" s="4" t="s">
        <v>8</v>
      </c>
      <c r="J49" s="2">
        <f t="shared" si="11"/>
        <v>0.6870229007633587</v>
      </c>
      <c r="K49" s="2">
        <f t="shared" si="12"/>
        <v>0.48</v>
      </c>
      <c r="L49" s="2">
        <f t="shared" si="13"/>
        <v>0.47058823529411764</v>
      </c>
      <c r="M49" s="2">
        <f t="shared" si="14"/>
        <v>0.61538461538461542</v>
      </c>
      <c r="N49" s="6">
        <f t="shared" si="15"/>
        <v>0.56324893786052299</v>
      </c>
    </row>
    <row r="50" spans="1:14" x14ac:dyDescent="0.3">
      <c r="A50" s="5" t="s">
        <v>12</v>
      </c>
      <c r="B50" s="6">
        <f>SUM(B46:B49)</f>
        <v>4.3666666666666671</v>
      </c>
      <c r="C50" s="6">
        <f t="shared" ref="C50:E50" si="16">SUM(C46:C49)</f>
        <v>12.5</v>
      </c>
      <c r="D50" s="6">
        <f t="shared" si="16"/>
        <v>17</v>
      </c>
      <c r="E50" s="6">
        <f t="shared" si="16"/>
        <v>1.625</v>
      </c>
      <c r="N50" s="6">
        <f>SUM(N46:N49)</f>
        <v>1</v>
      </c>
    </row>
    <row r="55" spans="1:14" ht="15" thickBot="1" x14ac:dyDescent="0.35"/>
    <row r="56" spans="1:14" ht="15.6" thickTop="1" thickBot="1" x14ac:dyDescent="0.35">
      <c r="A56" s="8" t="s">
        <v>9</v>
      </c>
      <c r="B56" s="4" t="s">
        <v>5</v>
      </c>
      <c r="C56" s="4" t="s">
        <v>6</v>
      </c>
      <c r="D56" s="4" t="s">
        <v>7</v>
      </c>
      <c r="E56" s="4" t="s">
        <v>8</v>
      </c>
    </row>
    <row r="57" spans="1:14" ht="15" thickTop="1" x14ac:dyDescent="0.3">
      <c r="A57" s="4" t="s">
        <v>5</v>
      </c>
      <c r="B57" s="2">
        <v>1</v>
      </c>
      <c r="C57" s="2">
        <f>1/3</f>
        <v>0.33333333333333331</v>
      </c>
      <c r="D57" s="2">
        <v>5</v>
      </c>
      <c r="E57" s="2">
        <v>8</v>
      </c>
    </row>
    <row r="58" spans="1:14" x14ac:dyDescent="0.3">
      <c r="A58" s="4" t="s">
        <v>6</v>
      </c>
      <c r="B58" s="3"/>
      <c r="C58" s="2">
        <v>1</v>
      </c>
      <c r="D58" s="2">
        <v>7</v>
      </c>
      <c r="E58" s="9">
        <v>9</v>
      </c>
    </row>
    <row r="59" spans="1:14" x14ac:dyDescent="0.3">
      <c r="A59" s="4" t="s">
        <v>7</v>
      </c>
      <c r="B59" s="3"/>
      <c r="C59" s="3"/>
      <c r="D59" s="2">
        <v>1</v>
      </c>
      <c r="E59" s="2">
        <v>2</v>
      </c>
    </row>
    <row r="60" spans="1:14" x14ac:dyDescent="0.3">
      <c r="A60" s="4" t="s">
        <v>8</v>
      </c>
      <c r="B60" s="3"/>
      <c r="C60" s="3"/>
      <c r="D60" s="3"/>
      <c r="E60" s="2">
        <v>1</v>
      </c>
    </row>
    <row r="61" spans="1:14" x14ac:dyDescent="0.3">
      <c r="B61" s="1"/>
      <c r="C61" s="1"/>
      <c r="D61" s="1"/>
      <c r="E61" s="1"/>
    </row>
    <row r="62" spans="1:14" x14ac:dyDescent="0.3">
      <c r="C62">
        <v>1</v>
      </c>
    </row>
    <row r="63" spans="1:14" x14ac:dyDescent="0.3">
      <c r="C63">
        <v>0</v>
      </c>
    </row>
    <row r="66" spans="1:14" ht="15" thickBot="1" x14ac:dyDescent="0.35"/>
    <row r="67" spans="1:14" ht="15.6" thickTop="1" thickBot="1" x14ac:dyDescent="0.35">
      <c r="A67" s="8" t="s">
        <v>9</v>
      </c>
      <c r="B67" s="4" t="s">
        <v>5</v>
      </c>
      <c r="C67" s="4" t="s">
        <v>6</v>
      </c>
      <c r="D67" s="4" t="s">
        <v>7</v>
      </c>
      <c r="E67" s="4" t="s">
        <v>8</v>
      </c>
      <c r="I67" s="8" t="s">
        <v>9</v>
      </c>
      <c r="J67" s="4" t="s">
        <v>5</v>
      </c>
      <c r="K67" s="4" t="s">
        <v>6</v>
      </c>
      <c r="L67" s="4" t="s">
        <v>7</v>
      </c>
      <c r="M67" s="4" t="s">
        <v>8</v>
      </c>
      <c r="N67" s="4" t="s">
        <v>13</v>
      </c>
    </row>
    <row r="68" spans="1:14" ht="15" thickTop="1" x14ac:dyDescent="0.3">
      <c r="A68" s="4" t="s">
        <v>5</v>
      </c>
      <c r="B68" s="2">
        <f>IF($C$62=1,B57,0)</f>
        <v>1</v>
      </c>
      <c r="C68" s="2">
        <f>IF($C$62=1,C57,0)</f>
        <v>0.33333333333333331</v>
      </c>
      <c r="D68" s="2">
        <f>IF($C$62=1,D57,0)</f>
        <v>5</v>
      </c>
      <c r="E68" s="2">
        <f>IF($C$62=1,E57,0)</f>
        <v>8</v>
      </c>
      <c r="I68" s="4" t="s">
        <v>5</v>
      </c>
      <c r="J68" s="2">
        <f>IF(AND($G$69=1,$C$62=1),B68/B$72,0)</f>
        <v>0.23121387283236994</v>
      </c>
      <c r="K68" s="2">
        <f t="shared" ref="K68:M68" si="17">IF(AND($G$69=1,$C$62=1),C68/C$72,0)</f>
        <v>0.21</v>
      </c>
      <c r="L68" s="2">
        <f t="shared" si="17"/>
        <v>0.37037037037037035</v>
      </c>
      <c r="M68" s="2">
        <f t="shared" si="17"/>
        <v>0.4</v>
      </c>
      <c r="N68" s="6">
        <f>AVERAGE(J68:M68)</f>
        <v>0.3028960608006851</v>
      </c>
    </row>
    <row r="69" spans="1:14" x14ac:dyDescent="0.3">
      <c r="A69" s="4" t="s">
        <v>6</v>
      </c>
      <c r="B69" s="3">
        <f>IF($C$62=1,1/C57,0)</f>
        <v>3</v>
      </c>
      <c r="C69" s="2">
        <f>IF($C$62=1,C58,0)</f>
        <v>1</v>
      </c>
      <c r="D69" s="2">
        <f>IF($C$62=1,D58,0)</f>
        <v>7</v>
      </c>
      <c r="E69" s="2">
        <f>IF($C$62=1,E58,0)</f>
        <v>9</v>
      </c>
      <c r="G69">
        <v>1</v>
      </c>
      <c r="I69" s="4" t="s">
        <v>6</v>
      </c>
      <c r="J69" s="2">
        <f t="shared" ref="J69:J71" si="18">IF(AND($G$69=1,$C$62=1),B69/B$72,0)</f>
        <v>0.69364161849710981</v>
      </c>
      <c r="K69" s="2">
        <f t="shared" ref="K69:K71" si="19">IF(AND($G$69=1,$C$62=1),C69/C$72,0)</f>
        <v>0.63</v>
      </c>
      <c r="L69" s="2">
        <f t="shared" ref="L69:L71" si="20">IF(AND($G$69=1,$C$62=1),D69/D$72,0)</f>
        <v>0.51851851851851849</v>
      </c>
      <c r="M69" s="2">
        <f t="shared" ref="M69:M71" si="21">IF(AND($G$69=1,$C$62=1),E69/E$72,0)</f>
        <v>0.45</v>
      </c>
      <c r="N69" s="6">
        <f t="shared" ref="N69:N71" si="22">AVERAGE(J69:M69)</f>
        <v>0.57304003425390715</v>
      </c>
    </row>
    <row r="70" spans="1:14" x14ac:dyDescent="0.3">
      <c r="A70" s="4" t="s">
        <v>7</v>
      </c>
      <c r="B70" s="3">
        <f>IF($C$62=1,1/D57,0)</f>
        <v>0.2</v>
      </c>
      <c r="C70" s="3">
        <f>IF($C$62=1,1/D58,0)</f>
        <v>0.14285714285714285</v>
      </c>
      <c r="D70" s="2">
        <f>IF($C$62=1,D59,0)</f>
        <v>1</v>
      </c>
      <c r="E70" s="2">
        <f>IF($C$62=1,E59,0)</f>
        <v>2</v>
      </c>
      <c r="I70" s="4" t="s">
        <v>7</v>
      </c>
      <c r="J70" s="2">
        <f t="shared" si="18"/>
        <v>4.6242774566473986E-2</v>
      </c>
      <c r="K70" s="2">
        <f t="shared" si="19"/>
        <v>0.09</v>
      </c>
      <c r="L70" s="2">
        <f t="shared" si="20"/>
        <v>7.407407407407407E-2</v>
      </c>
      <c r="M70" s="2">
        <f t="shared" si="21"/>
        <v>0.1</v>
      </c>
      <c r="N70" s="6">
        <f t="shared" si="22"/>
        <v>7.7579212160137023E-2</v>
      </c>
    </row>
    <row r="71" spans="1:14" x14ac:dyDescent="0.3">
      <c r="A71" s="4" t="s">
        <v>8</v>
      </c>
      <c r="B71" s="3">
        <f>IF($C$62=1,1/E57,0)</f>
        <v>0.125</v>
      </c>
      <c r="C71" s="3">
        <f>IF($C$62=1,1/E58,0)</f>
        <v>0.1111111111111111</v>
      </c>
      <c r="D71" s="3">
        <f>IF($C$62=1,1/E59,0)</f>
        <v>0.5</v>
      </c>
      <c r="E71" s="2">
        <f>IF($C$62=1,E60,0)</f>
        <v>1</v>
      </c>
      <c r="I71" s="4" t="s">
        <v>8</v>
      </c>
      <c r="J71" s="2">
        <f t="shared" si="18"/>
        <v>2.8901734104046242E-2</v>
      </c>
      <c r="K71" s="2">
        <f t="shared" si="19"/>
        <v>7.0000000000000007E-2</v>
      </c>
      <c r="L71" s="2">
        <f t="shared" si="20"/>
        <v>3.7037037037037035E-2</v>
      </c>
      <c r="M71" s="2">
        <f t="shared" si="21"/>
        <v>0.05</v>
      </c>
      <c r="N71" s="6">
        <f t="shared" si="22"/>
        <v>4.6484692785270815E-2</v>
      </c>
    </row>
    <row r="72" spans="1:14" x14ac:dyDescent="0.3">
      <c r="A72" s="5" t="s">
        <v>12</v>
      </c>
      <c r="B72" s="6">
        <f>SUM(B68:B71)</f>
        <v>4.3250000000000002</v>
      </c>
      <c r="C72" s="6">
        <f t="shared" ref="C72:E72" si="23">SUM(C68:C71)</f>
        <v>1.5873015873015872</v>
      </c>
      <c r="D72" s="6">
        <f t="shared" si="23"/>
        <v>13.5</v>
      </c>
      <c r="E72" s="6">
        <f t="shared" si="23"/>
        <v>20</v>
      </c>
      <c r="N72" s="6">
        <f>SUM(N68:N71)</f>
        <v>1.0000000000000002</v>
      </c>
    </row>
    <row r="78" spans="1:14" ht="15" thickBot="1" x14ac:dyDescent="0.35"/>
    <row r="79" spans="1:14" ht="15.6" thickTop="1" thickBot="1" x14ac:dyDescent="0.35">
      <c r="A79" s="8" t="s">
        <v>10</v>
      </c>
      <c r="B79" s="4" t="s">
        <v>5</v>
      </c>
      <c r="C79" s="4" t="s">
        <v>6</v>
      </c>
      <c r="D79" s="4" t="s">
        <v>7</v>
      </c>
      <c r="E79" s="4" t="s">
        <v>8</v>
      </c>
    </row>
    <row r="80" spans="1:14" ht="15" thickTop="1" x14ac:dyDescent="0.3">
      <c r="A80" s="4" t="s">
        <v>5</v>
      </c>
      <c r="B80" s="2">
        <v>1</v>
      </c>
      <c r="C80" s="2">
        <v>5</v>
      </c>
      <c r="D80" s="2">
        <v>4</v>
      </c>
      <c r="E80" s="2">
        <v>8</v>
      </c>
    </row>
    <row r="81" spans="1:14" x14ac:dyDescent="0.3">
      <c r="A81" s="4" t="s">
        <v>6</v>
      </c>
      <c r="B81" s="3"/>
      <c r="C81" s="2">
        <v>1</v>
      </c>
      <c r="D81" s="2">
        <v>0.5</v>
      </c>
      <c r="E81" s="7">
        <v>4</v>
      </c>
    </row>
    <row r="82" spans="1:14" x14ac:dyDescent="0.3">
      <c r="A82" s="4" t="s">
        <v>7</v>
      </c>
      <c r="B82" s="3"/>
      <c r="C82" s="3"/>
      <c r="D82" s="2">
        <v>1</v>
      </c>
      <c r="E82" s="2">
        <v>5</v>
      </c>
    </row>
    <row r="83" spans="1:14" x14ac:dyDescent="0.3">
      <c r="A83" s="4" t="s">
        <v>8</v>
      </c>
      <c r="B83" s="3"/>
      <c r="C83" s="3"/>
      <c r="D83" s="3"/>
      <c r="E83" s="2">
        <v>1</v>
      </c>
    </row>
    <row r="84" spans="1:14" x14ac:dyDescent="0.3">
      <c r="B84" s="1"/>
      <c r="C84" s="1"/>
      <c r="D84" s="1"/>
      <c r="E84" s="1"/>
    </row>
    <row r="85" spans="1:14" x14ac:dyDescent="0.3">
      <c r="C85">
        <v>1</v>
      </c>
    </row>
    <row r="86" spans="1:14" x14ac:dyDescent="0.3">
      <c r="C86">
        <v>0</v>
      </c>
    </row>
    <row r="89" spans="1:14" ht="15" thickBot="1" x14ac:dyDescent="0.35"/>
    <row r="90" spans="1:14" ht="15.6" thickTop="1" thickBot="1" x14ac:dyDescent="0.35">
      <c r="A90" s="8" t="s">
        <v>10</v>
      </c>
      <c r="B90" s="4" t="s">
        <v>5</v>
      </c>
      <c r="C90" s="4" t="s">
        <v>6</v>
      </c>
      <c r="D90" s="4" t="s">
        <v>7</v>
      </c>
      <c r="E90" s="4" t="s">
        <v>8</v>
      </c>
      <c r="I90" s="8" t="s">
        <v>10</v>
      </c>
      <c r="J90" s="4" t="s">
        <v>5</v>
      </c>
      <c r="K90" s="4" t="s">
        <v>6</v>
      </c>
      <c r="L90" s="4" t="s">
        <v>7</v>
      </c>
      <c r="M90" s="4" t="s">
        <v>8</v>
      </c>
      <c r="N90" s="4" t="s">
        <v>13</v>
      </c>
    </row>
    <row r="91" spans="1:14" ht="15" thickTop="1" x14ac:dyDescent="0.3">
      <c r="A91" s="4" t="s">
        <v>5</v>
      </c>
      <c r="B91" s="2">
        <f>IF($C$85=1,B80,0)</f>
        <v>1</v>
      </c>
      <c r="C91" s="2">
        <f>IF($C$85=1,C80,0)</f>
        <v>5</v>
      </c>
      <c r="D91" s="2">
        <f>IF($C$85=1,D80,0)</f>
        <v>4</v>
      </c>
      <c r="E91" s="2">
        <f>IF($C$85=1,E80,0)</f>
        <v>8</v>
      </c>
      <c r="I91" s="4" t="s">
        <v>5</v>
      </c>
      <c r="J91" s="2">
        <f>IF(AND($G$92=1,$C$85=1),B91/B$95,0)</f>
        <v>0.63492063492063489</v>
      </c>
      <c r="K91" s="2">
        <f t="shared" ref="K91:M91" si="24">IF(AND($G$92=1,$C$85=1),C91/C$95,0)</f>
        <v>0.60606060606060608</v>
      </c>
      <c r="L91" s="2">
        <f t="shared" si="24"/>
        <v>0.70175438596491224</v>
      </c>
      <c r="M91" s="2">
        <f t="shared" si="24"/>
        <v>0.44444444444444442</v>
      </c>
      <c r="N91" s="6">
        <f>AVERAGE(J91:M91)</f>
        <v>0.59679501784764932</v>
      </c>
    </row>
    <row r="92" spans="1:14" x14ac:dyDescent="0.3">
      <c r="A92" s="4" t="s">
        <v>6</v>
      </c>
      <c r="B92" s="3">
        <f>IF($C$85=1,1/C80,0)</f>
        <v>0.2</v>
      </c>
      <c r="C92" s="2">
        <f>IF($C$85=1,C81,0)</f>
        <v>1</v>
      </c>
      <c r="D92" s="2">
        <f>IF($C$85=1,D81,0)</f>
        <v>0.5</v>
      </c>
      <c r="E92" s="2">
        <f>IF($C$85=1,E81,0)</f>
        <v>4</v>
      </c>
      <c r="G92">
        <v>1</v>
      </c>
      <c r="I92" s="4" t="s">
        <v>6</v>
      </c>
      <c r="J92" s="2">
        <f t="shared" ref="J92:J94" si="25">IF(AND($G$92=1,$C$85=1),B92/B$95,0)</f>
        <v>0.126984126984127</v>
      </c>
      <c r="K92" s="2">
        <f t="shared" ref="K92:K94" si="26">IF(AND($G$92=1,$C$85=1),C92/C$95,0)</f>
        <v>0.12121212121212122</v>
      </c>
      <c r="L92" s="2">
        <f t="shared" ref="L92:L94" si="27">IF(AND($G$92=1,$C$85=1),D92/D$95,0)</f>
        <v>8.771929824561403E-2</v>
      </c>
      <c r="M92" s="2">
        <f t="shared" ref="M92:M94" si="28">IF(AND($G$92=1,$C$85=1),E92/E$95,0)</f>
        <v>0.22222222222222221</v>
      </c>
      <c r="N92" s="6">
        <f t="shared" ref="N92:N94" si="29">AVERAGE(J92:M92)</f>
        <v>0.13953444216602112</v>
      </c>
    </row>
    <row r="93" spans="1:14" x14ac:dyDescent="0.3">
      <c r="A93" s="4" t="s">
        <v>7</v>
      </c>
      <c r="B93" s="3">
        <f>IF($C$85=1,1/D80,0)</f>
        <v>0.25</v>
      </c>
      <c r="C93" s="3">
        <f>IF($C$85=1,1/D81,0)</f>
        <v>2</v>
      </c>
      <c r="D93" s="2">
        <f>IF($C$85=1,D82,0)</f>
        <v>1</v>
      </c>
      <c r="E93" s="2">
        <f>IF($C$85=1,E82,0)</f>
        <v>5</v>
      </c>
      <c r="I93" s="4" t="s">
        <v>7</v>
      </c>
      <c r="J93" s="2">
        <f t="shared" si="25"/>
        <v>0.15873015873015872</v>
      </c>
      <c r="K93" s="2">
        <f t="shared" si="26"/>
        <v>0.24242424242424243</v>
      </c>
      <c r="L93" s="2">
        <f t="shared" si="27"/>
        <v>0.17543859649122806</v>
      </c>
      <c r="M93" s="2">
        <f t="shared" si="28"/>
        <v>0.27777777777777779</v>
      </c>
      <c r="N93" s="6">
        <f t="shared" si="29"/>
        <v>0.21359269385585175</v>
      </c>
    </row>
    <row r="94" spans="1:14" x14ac:dyDescent="0.3">
      <c r="A94" s="4" t="s">
        <v>8</v>
      </c>
      <c r="B94" s="3">
        <f>IF($C$85=1,1/E80,0)</f>
        <v>0.125</v>
      </c>
      <c r="C94" s="3">
        <f>IF($C$85=1,1/E81,0)</f>
        <v>0.25</v>
      </c>
      <c r="D94" s="3">
        <f>IF($C$85=1,1/E82,0)</f>
        <v>0.2</v>
      </c>
      <c r="E94" s="2">
        <f>IF($C$85=1,E83,0)</f>
        <v>1</v>
      </c>
      <c r="I94" s="4" t="s">
        <v>8</v>
      </c>
      <c r="J94" s="2">
        <f t="shared" si="25"/>
        <v>7.9365079365079361E-2</v>
      </c>
      <c r="K94" s="2">
        <f t="shared" si="26"/>
        <v>3.0303030303030304E-2</v>
      </c>
      <c r="L94" s="2">
        <f t="shared" si="27"/>
        <v>3.5087719298245612E-2</v>
      </c>
      <c r="M94" s="2">
        <f t="shared" si="28"/>
        <v>5.5555555555555552E-2</v>
      </c>
      <c r="N94" s="6">
        <f t="shared" si="29"/>
        <v>5.0077846130477707E-2</v>
      </c>
    </row>
    <row r="95" spans="1:14" x14ac:dyDescent="0.3">
      <c r="A95" s="5" t="s">
        <v>12</v>
      </c>
      <c r="B95" s="6">
        <f>SUM(B91:B94)</f>
        <v>1.575</v>
      </c>
      <c r="C95" s="6">
        <f t="shared" ref="C95:E95" si="30">SUM(C91:C94)</f>
        <v>8.25</v>
      </c>
      <c r="D95" s="6">
        <f t="shared" si="30"/>
        <v>5.7</v>
      </c>
      <c r="E95" s="6">
        <f t="shared" si="30"/>
        <v>18</v>
      </c>
      <c r="N95" s="6">
        <f>SUM(N91:N94)</f>
        <v>1</v>
      </c>
    </row>
    <row r="101" spans="1:5" ht="15" thickBot="1" x14ac:dyDescent="0.35"/>
    <row r="102" spans="1:5" ht="15.6" thickTop="1" thickBot="1" x14ac:dyDescent="0.35">
      <c r="A102" s="8" t="s">
        <v>11</v>
      </c>
      <c r="B102" s="4" t="s">
        <v>5</v>
      </c>
      <c r="C102" s="4" t="s">
        <v>6</v>
      </c>
      <c r="D102" s="4" t="s">
        <v>7</v>
      </c>
      <c r="E102" s="4" t="s">
        <v>8</v>
      </c>
    </row>
    <row r="103" spans="1:5" ht="15" thickTop="1" x14ac:dyDescent="0.3">
      <c r="A103" s="4" t="s">
        <v>5</v>
      </c>
      <c r="B103" s="2">
        <v>1</v>
      </c>
      <c r="C103" s="2">
        <v>3</v>
      </c>
      <c r="D103" s="2">
        <v>0.2</v>
      </c>
      <c r="E103" s="2">
        <v>1</v>
      </c>
    </row>
    <row r="104" spans="1:5" x14ac:dyDescent="0.3">
      <c r="A104" s="4" t="s">
        <v>6</v>
      </c>
      <c r="B104" s="3"/>
      <c r="C104" s="2">
        <v>1</v>
      </c>
      <c r="D104" s="2">
        <f>1/8</f>
        <v>0.125</v>
      </c>
      <c r="E104" s="7">
        <f>1/3</f>
        <v>0.33333333333333331</v>
      </c>
    </row>
    <row r="105" spans="1:5" x14ac:dyDescent="0.3">
      <c r="A105" s="4" t="s">
        <v>7</v>
      </c>
      <c r="B105" s="3"/>
      <c r="C105" s="3"/>
      <c r="D105" s="2">
        <v>1</v>
      </c>
      <c r="E105" s="2">
        <v>5</v>
      </c>
    </row>
    <row r="106" spans="1:5" x14ac:dyDescent="0.3">
      <c r="A106" s="4" t="s">
        <v>8</v>
      </c>
      <c r="B106" s="3"/>
      <c r="C106" s="3"/>
      <c r="D106" s="3"/>
      <c r="E106" s="2">
        <v>1</v>
      </c>
    </row>
    <row r="107" spans="1:5" x14ac:dyDescent="0.3">
      <c r="B107" s="1"/>
      <c r="C107" s="1"/>
      <c r="D107" s="1"/>
      <c r="E107" s="1"/>
    </row>
    <row r="108" spans="1:5" x14ac:dyDescent="0.3">
      <c r="C108">
        <v>1</v>
      </c>
    </row>
    <row r="109" spans="1:5" x14ac:dyDescent="0.3">
      <c r="C109">
        <v>0</v>
      </c>
    </row>
    <row r="112" spans="1:5" ht="15" thickBot="1" x14ac:dyDescent="0.35"/>
    <row r="113" spans="1:14" ht="15.6" thickTop="1" thickBot="1" x14ac:dyDescent="0.35">
      <c r="A113" s="8" t="s">
        <v>11</v>
      </c>
      <c r="B113" s="4" t="s">
        <v>5</v>
      </c>
      <c r="C113" s="4" t="s">
        <v>6</v>
      </c>
      <c r="D113" s="4" t="s">
        <v>7</v>
      </c>
      <c r="E113" s="4" t="s">
        <v>8</v>
      </c>
      <c r="I113" s="8" t="s">
        <v>11</v>
      </c>
      <c r="J113" s="4" t="s">
        <v>5</v>
      </c>
      <c r="K113" s="4" t="s">
        <v>6</v>
      </c>
      <c r="L113" s="4" t="s">
        <v>7</v>
      </c>
      <c r="M113" s="4" t="s">
        <v>8</v>
      </c>
      <c r="N113" s="4" t="s">
        <v>13</v>
      </c>
    </row>
    <row r="114" spans="1:14" ht="15" thickTop="1" x14ac:dyDescent="0.3">
      <c r="A114" s="4" t="s">
        <v>5</v>
      </c>
      <c r="B114" s="2">
        <f>IF($C$108=1,B103,0)</f>
        <v>1</v>
      </c>
      <c r="C114" s="2">
        <f>IF($C$108=1,C103,0)</f>
        <v>3</v>
      </c>
      <c r="D114" s="2">
        <f>IF($C$108=1,D103,0)</f>
        <v>0.2</v>
      </c>
      <c r="E114" s="2">
        <f>IF($C$108=1,E103,0)</f>
        <v>1</v>
      </c>
      <c r="I114" s="4" t="s">
        <v>5</v>
      </c>
      <c r="J114" s="2">
        <f>IF(AND($G$115=1,$C$108=1),B114/B$118,0)</f>
        <v>0.13636363636363638</v>
      </c>
      <c r="K114" s="2">
        <f t="shared" ref="K114:M114" si="31">IF(AND($G$115=1,$C$108=1),C114/C$118,0)</f>
        <v>0.2</v>
      </c>
      <c r="L114" s="2">
        <f t="shared" si="31"/>
        <v>0.13114754098360656</v>
      </c>
      <c r="M114" s="2">
        <f t="shared" si="31"/>
        <v>0.13636363636363638</v>
      </c>
      <c r="N114" s="6">
        <f>AVERAGE(J114:M114)</f>
        <v>0.15096870342771984</v>
      </c>
    </row>
    <row r="115" spans="1:14" x14ac:dyDescent="0.3">
      <c r="A115" s="4" t="s">
        <v>6</v>
      </c>
      <c r="B115" s="3">
        <f>IF($C$108=1,1/C103,0)</f>
        <v>0.33333333333333331</v>
      </c>
      <c r="C115" s="2">
        <f>IF($C$108=1,C104,0)</f>
        <v>1</v>
      </c>
      <c r="D115" s="2">
        <f>IF($C$108=1,D104,0)</f>
        <v>0.125</v>
      </c>
      <c r="E115" s="2">
        <f>IF($C$108=1,E104,0)</f>
        <v>0.33333333333333331</v>
      </c>
      <c r="G115">
        <v>1</v>
      </c>
      <c r="I115" s="4" t="s">
        <v>6</v>
      </c>
      <c r="J115" s="2">
        <f t="shared" ref="J115:J117" si="32">IF(AND($G$115=1,$C$108=1),B115/B$118,0)</f>
        <v>4.5454545454545456E-2</v>
      </c>
      <c r="K115" s="2">
        <f t="shared" ref="K115:K117" si="33">IF(AND($G$115=1,$C$108=1),C115/C$118,0)</f>
        <v>6.6666666666666666E-2</v>
      </c>
      <c r="L115" s="2">
        <f t="shared" ref="L115:L117" si="34">IF(AND($G$115=1,$C$108=1),D115/D$118,0)</f>
        <v>8.1967213114754106E-2</v>
      </c>
      <c r="M115" s="2">
        <f t="shared" ref="M115:M117" si="35">IF(AND($G$115=1,$C$108=1),E115/E$118,0)</f>
        <v>4.5454545454545456E-2</v>
      </c>
      <c r="N115" s="6">
        <f t="shared" ref="N115:N117" si="36">AVERAGE(J115:M115)</f>
        <v>5.9885742672627917E-2</v>
      </c>
    </row>
    <row r="116" spans="1:14" x14ac:dyDescent="0.3">
      <c r="A116" s="4" t="s">
        <v>7</v>
      </c>
      <c r="B116" s="3">
        <f>IF($C$108=1,1/D103,0)</f>
        <v>5</v>
      </c>
      <c r="C116" s="3">
        <f>IF($C$108=1,1/D104,0)</f>
        <v>8</v>
      </c>
      <c r="D116" s="2">
        <f>IF($C$108=1,D105,0)</f>
        <v>1</v>
      </c>
      <c r="E116" s="2">
        <f>IF($C$108=1,E105,0)</f>
        <v>5</v>
      </c>
      <c r="I116" s="4" t="s">
        <v>7</v>
      </c>
      <c r="J116" s="2">
        <f t="shared" si="32"/>
        <v>0.68181818181818188</v>
      </c>
      <c r="K116" s="2">
        <f t="shared" si="33"/>
        <v>0.53333333333333333</v>
      </c>
      <c r="L116" s="2">
        <f t="shared" si="34"/>
        <v>0.65573770491803285</v>
      </c>
      <c r="M116" s="2">
        <f t="shared" si="35"/>
        <v>0.68181818181818188</v>
      </c>
      <c r="N116" s="6">
        <f t="shared" si="36"/>
        <v>0.63817685047193251</v>
      </c>
    </row>
    <row r="117" spans="1:14" x14ac:dyDescent="0.3">
      <c r="A117" s="4" t="s">
        <v>8</v>
      </c>
      <c r="B117" s="3">
        <f>IF($C$108=1,1/E103,0)</f>
        <v>1</v>
      </c>
      <c r="C117" s="3">
        <f>IF($C$108=1,1/E104,0)</f>
        <v>3</v>
      </c>
      <c r="D117" s="3">
        <f>IF($C$108=1,1/E105,0)</f>
        <v>0.2</v>
      </c>
      <c r="E117" s="2">
        <f>IF($C$108=1,E106,0)</f>
        <v>1</v>
      </c>
      <c r="I117" s="4" t="s">
        <v>8</v>
      </c>
      <c r="J117" s="2">
        <f t="shared" si="32"/>
        <v>0.13636363636363638</v>
      </c>
      <c r="K117" s="2">
        <f t="shared" si="33"/>
        <v>0.2</v>
      </c>
      <c r="L117" s="2">
        <f t="shared" si="34"/>
        <v>0.13114754098360656</v>
      </c>
      <c r="M117" s="2">
        <f t="shared" si="35"/>
        <v>0.13636363636363638</v>
      </c>
      <c r="N117" s="6">
        <f t="shared" si="36"/>
        <v>0.15096870342771984</v>
      </c>
    </row>
    <row r="118" spans="1:14" x14ac:dyDescent="0.3">
      <c r="A118" s="5" t="s">
        <v>12</v>
      </c>
      <c r="B118" s="6">
        <f>SUM(B114:B117)</f>
        <v>7.333333333333333</v>
      </c>
      <c r="C118" s="6">
        <f t="shared" ref="C118:E118" si="37">SUM(C114:C117)</f>
        <v>15</v>
      </c>
      <c r="D118" s="6">
        <f t="shared" si="37"/>
        <v>1.5249999999999999</v>
      </c>
      <c r="E118" s="6">
        <f t="shared" si="37"/>
        <v>7.333333333333333</v>
      </c>
      <c r="N118" s="6">
        <f>SUM(N114:N117)</f>
        <v>1</v>
      </c>
    </row>
    <row r="122" spans="1:14" x14ac:dyDescent="0.3">
      <c r="A122" s="4"/>
      <c r="B122" s="4" t="s">
        <v>14</v>
      </c>
      <c r="C122" s="4" t="s">
        <v>5</v>
      </c>
      <c r="D122" s="4" t="s">
        <v>6</v>
      </c>
      <c r="E122" s="4" t="s">
        <v>7</v>
      </c>
      <c r="F122" s="4" t="s">
        <v>8</v>
      </c>
      <c r="I122" s="4"/>
      <c r="J122" s="4" t="s">
        <v>5</v>
      </c>
      <c r="K122" s="4" t="s">
        <v>6</v>
      </c>
      <c r="L122" s="4" t="s">
        <v>7</v>
      </c>
      <c r="M122" s="4" t="s">
        <v>8</v>
      </c>
    </row>
    <row r="123" spans="1:14" x14ac:dyDescent="0.3">
      <c r="A123" s="4" t="s">
        <v>0</v>
      </c>
      <c r="B123" s="2">
        <f>$N$20</f>
        <v>0.4573440285204991</v>
      </c>
      <c r="C123" s="2">
        <f>$N$46</f>
        <v>0.29676925379664487</v>
      </c>
      <c r="D123" s="2">
        <f>$N$47</f>
        <v>8.6503172026297315E-2</v>
      </c>
      <c r="E123" s="2">
        <f>$N$48</f>
        <v>5.3478636316534836E-2</v>
      </c>
      <c r="F123" s="2">
        <f>N49</f>
        <v>0.56324893786052299</v>
      </c>
      <c r="I123" s="4" t="s">
        <v>0</v>
      </c>
      <c r="J123" s="2">
        <f>IF($G$124=1,$B123*C123,0)</f>
        <v>0.13572564607238</v>
      </c>
      <c r="K123" s="2">
        <f t="shared" ref="K123:M123" si="38">IF($G$124=1,$B123*D123,0)</f>
        <v>3.9561709174308561E-2</v>
      </c>
      <c r="L123" s="2">
        <f t="shared" si="38"/>
        <v>2.4458134972786708E-2</v>
      </c>
      <c r="M123" s="2">
        <f t="shared" si="38"/>
        <v>0.25759853830102386</v>
      </c>
    </row>
    <row r="124" spans="1:14" x14ac:dyDescent="0.3">
      <c r="A124" s="4" t="s">
        <v>1</v>
      </c>
      <c r="B124" s="2">
        <f>$N$21</f>
        <v>0.29975044563279857</v>
      </c>
      <c r="C124" s="2">
        <f>$N68</f>
        <v>0.3028960608006851</v>
      </c>
      <c r="D124" s="2">
        <f>$N$69</f>
        <v>0.57304003425390715</v>
      </c>
      <c r="E124" s="2">
        <f>$N$70</f>
        <v>7.7579212160137023E-2</v>
      </c>
      <c r="F124" s="2">
        <f>$N$71</f>
        <v>4.6484692785270815E-2</v>
      </c>
      <c r="G124">
        <v>1</v>
      </c>
      <c r="I124" s="4" t="s">
        <v>1</v>
      </c>
      <c r="J124" s="2">
        <f t="shared" ref="J124:J126" si="39">IF($G$124=1,$B124*C124,0)</f>
        <v>9.0793229205424611E-2</v>
      </c>
      <c r="K124" s="2">
        <f t="shared" ref="K124:K126" si="40">IF($G$124=1,$B124*D124,0)</f>
        <v>0.17176900563304281</v>
      </c>
      <c r="L124" s="2">
        <f t="shared" ref="L124:L126" si="41">IF($G$124=1,$B124*E124,0)</f>
        <v>2.3254403416842498E-2</v>
      </c>
      <c r="M124" s="2">
        <f t="shared" ref="M124:M126" si="42">IF($G$124=1,$B124*F124,0)</f>
        <v>1.3933807377488663E-2</v>
      </c>
    </row>
    <row r="125" spans="1:14" x14ac:dyDescent="0.3">
      <c r="A125" s="4" t="s">
        <v>2</v>
      </c>
      <c r="B125" s="2">
        <f>$N$22</f>
        <v>0.13769459298871062</v>
      </c>
      <c r="C125" s="2">
        <f>$N$91</f>
        <v>0.59679501784764932</v>
      </c>
      <c r="D125" s="2">
        <f>$N$92</f>
        <v>0.13953444216602112</v>
      </c>
      <c r="E125" s="2">
        <f>$N$93</f>
        <v>0.21359269385585175</v>
      </c>
      <c r="F125" s="2">
        <f>$N$94</f>
        <v>5.0077846130477707E-2</v>
      </c>
      <c r="I125" s="4" t="s">
        <v>2</v>
      </c>
      <c r="J125" s="2">
        <f t="shared" si="39"/>
        <v>8.2175447080222369E-2</v>
      </c>
      <c r="K125" s="2">
        <f t="shared" si="40"/>
        <v>1.9213138221957058E-2</v>
      </c>
      <c r="L125" s="2">
        <f t="shared" si="41"/>
        <v>2.9410559045843779E-2</v>
      </c>
      <c r="M125" s="2">
        <f t="shared" si="42"/>
        <v>6.8954486406874052E-3</v>
      </c>
    </row>
    <row r="126" spans="1:14" x14ac:dyDescent="0.3">
      <c r="A126" s="4" t="s">
        <v>3</v>
      </c>
      <c r="B126" s="2">
        <f>$N$23</f>
        <v>0.10521093285799167</v>
      </c>
      <c r="C126" s="2">
        <f>$N$114</f>
        <v>0.15096870342771984</v>
      </c>
      <c r="D126" s="2">
        <f>$N$115</f>
        <v>5.9885742672627917E-2</v>
      </c>
      <c r="E126" s="2">
        <f>$N$116</f>
        <v>0.63817685047193251</v>
      </c>
      <c r="F126" s="2">
        <f>$N$117</f>
        <v>0.15096870342771984</v>
      </c>
      <c r="I126" s="4" t="s">
        <v>3</v>
      </c>
      <c r="J126" s="2">
        <f t="shared" si="39"/>
        <v>1.588355811999189E-2</v>
      </c>
      <c r="K126" s="2">
        <f t="shared" si="40"/>
        <v>6.3006348514808228E-3</v>
      </c>
      <c r="L126" s="2">
        <f t="shared" si="41"/>
        <v>6.7143181766527088E-2</v>
      </c>
      <c r="M126" s="2">
        <f t="shared" si="42"/>
        <v>1.588355811999189E-2</v>
      </c>
    </row>
    <row r="127" spans="1:14" x14ac:dyDescent="0.3">
      <c r="I127" s="4" t="s">
        <v>15</v>
      </c>
      <c r="J127" s="2">
        <f>SUM(J123:J126)</f>
        <v>0.32457788047801883</v>
      </c>
      <c r="K127" s="2">
        <f t="shared" ref="K127:M127" si="43">SUM(K123:K126)</f>
        <v>0.23684448788078927</v>
      </c>
      <c r="L127" s="2">
        <f t="shared" si="43"/>
        <v>0.14426627920200008</v>
      </c>
      <c r="M127" s="2">
        <f t="shared" si="43"/>
        <v>0.29431135243919182</v>
      </c>
    </row>
    <row r="131" spans="4:12" x14ac:dyDescent="0.3">
      <c r="D131">
        <v>1</v>
      </c>
      <c r="I131">
        <v>1</v>
      </c>
    </row>
    <row r="132" spans="4:12" x14ac:dyDescent="0.3">
      <c r="G132" t="str">
        <f ca="1">IF(AND($G$124=1,$D$131=1),INDIRECT(ADDRESS(122,MATCH(MAX($J$127:$M$127),$J$127:$M$127,0)+9)),"NA")</f>
        <v>P1</v>
      </c>
      <c r="L132" t="str">
        <f ca="1">IF(AND($G$124=1,$I$131=1),INDIRECT(ADDRESS(122,MATCH(MIN($J$127:$M$127),$J$127:$M$127,0)+9)),"NA")</f>
        <v>P3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P224"/>
  <sheetViews>
    <sheetView topLeftCell="A199" zoomScaleNormal="100" workbookViewId="0">
      <selection activeCell="C230" sqref="C230"/>
    </sheetView>
  </sheetViews>
  <sheetFormatPr defaultColWidth="9.33203125" defaultRowHeight="14.4" x14ac:dyDescent="0.3"/>
  <sheetData>
    <row r="1" spans="1:16" x14ac:dyDescent="0.3">
      <c r="B1" s="22" t="s">
        <v>16</v>
      </c>
      <c r="C1" s="22"/>
      <c r="D1" s="22"/>
      <c r="E1" s="21" t="s">
        <v>17</v>
      </c>
      <c r="F1" s="21"/>
      <c r="G1" s="21"/>
      <c r="H1" s="22" t="s">
        <v>18</v>
      </c>
      <c r="I1" s="22"/>
      <c r="J1" s="22"/>
      <c r="K1" s="21" t="s">
        <v>19</v>
      </c>
      <c r="L1" s="21"/>
      <c r="M1" s="21"/>
      <c r="N1" s="22" t="s">
        <v>20</v>
      </c>
      <c r="O1" s="22"/>
      <c r="P1" s="22"/>
    </row>
    <row r="2" spans="1:16" x14ac:dyDescent="0.3">
      <c r="A2" s="10" t="s">
        <v>16</v>
      </c>
      <c r="B2" s="11">
        <v>1</v>
      </c>
      <c r="C2" s="12">
        <v>1</v>
      </c>
      <c r="D2" s="13">
        <v>1</v>
      </c>
      <c r="E2" s="14">
        <v>1</v>
      </c>
      <c r="F2" s="15">
        <v>1</v>
      </c>
      <c r="G2" s="16">
        <v>1</v>
      </c>
      <c r="H2" s="11">
        <v>4</v>
      </c>
      <c r="I2" s="12">
        <v>5</v>
      </c>
      <c r="J2" s="13">
        <v>6</v>
      </c>
      <c r="K2" s="14">
        <v>6</v>
      </c>
      <c r="L2" s="15">
        <v>7</v>
      </c>
      <c r="M2" s="16">
        <v>8</v>
      </c>
      <c r="N2" s="11">
        <v>4</v>
      </c>
      <c r="O2" s="12">
        <v>5</v>
      </c>
      <c r="P2" s="13">
        <v>6</v>
      </c>
    </row>
    <row r="3" spans="1:16" x14ac:dyDescent="0.3">
      <c r="A3" s="17" t="s">
        <v>17</v>
      </c>
      <c r="B3" s="3"/>
      <c r="C3" s="3"/>
      <c r="D3" s="3"/>
      <c r="E3" s="14">
        <v>1</v>
      </c>
      <c r="F3" s="15">
        <v>1</v>
      </c>
      <c r="G3" s="16">
        <v>1</v>
      </c>
      <c r="H3" s="11">
        <v>4</v>
      </c>
      <c r="I3" s="12">
        <v>5</v>
      </c>
      <c r="J3" s="13">
        <v>6</v>
      </c>
      <c r="K3" s="14">
        <v>6</v>
      </c>
      <c r="L3" s="15">
        <v>7</v>
      </c>
      <c r="M3" s="16">
        <v>8</v>
      </c>
      <c r="N3" s="11">
        <v>6</v>
      </c>
      <c r="O3" s="12">
        <v>7</v>
      </c>
      <c r="P3" s="13">
        <v>8</v>
      </c>
    </row>
    <row r="4" spans="1:16" x14ac:dyDescent="0.3">
      <c r="A4" s="10" t="s">
        <v>18</v>
      </c>
      <c r="B4" s="3"/>
      <c r="C4" s="3"/>
      <c r="D4" s="3"/>
      <c r="E4" s="3"/>
      <c r="F4" s="3"/>
      <c r="G4" s="3"/>
      <c r="H4" s="11">
        <v>1</v>
      </c>
      <c r="I4" s="12">
        <v>1</v>
      </c>
      <c r="J4" s="13">
        <v>1</v>
      </c>
      <c r="K4" s="14">
        <f>1/4</f>
        <v>0.25</v>
      </c>
      <c r="L4" s="15">
        <f>1/3</f>
        <v>0.33333333333333331</v>
      </c>
      <c r="M4" s="16">
        <f>1/2</f>
        <v>0.5</v>
      </c>
      <c r="N4" s="11">
        <v>2</v>
      </c>
      <c r="O4" s="12">
        <v>3</v>
      </c>
      <c r="P4" s="13">
        <v>4</v>
      </c>
    </row>
    <row r="5" spans="1:16" x14ac:dyDescent="0.3">
      <c r="A5" s="17" t="s">
        <v>19</v>
      </c>
      <c r="B5" s="3"/>
      <c r="C5" s="3"/>
      <c r="D5" s="3"/>
      <c r="E5" s="3"/>
      <c r="F5" s="3"/>
      <c r="G5" s="3"/>
      <c r="H5" s="3"/>
      <c r="I5" s="3"/>
      <c r="J5" s="3"/>
      <c r="K5" s="14">
        <v>1</v>
      </c>
      <c r="L5" s="15">
        <v>1</v>
      </c>
      <c r="M5" s="16">
        <v>1</v>
      </c>
      <c r="N5" s="11">
        <f>1/6</f>
        <v>0.16666666666666666</v>
      </c>
      <c r="O5" s="12">
        <f>1/5</f>
        <v>0.2</v>
      </c>
      <c r="P5" s="13">
        <f>1/4</f>
        <v>0.25</v>
      </c>
    </row>
    <row r="6" spans="1:16" x14ac:dyDescent="0.3">
      <c r="A6" s="10" t="s">
        <v>20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11">
        <v>1</v>
      </c>
      <c r="O6" s="12">
        <v>1</v>
      </c>
      <c r="P6" s="13">
        <v>1</v>
      </c>
    </row>
    <row r="8" spans="1:16" x14ac:dyDescent="0.3">
      <c r="I8">
        <v>1</v>
      </c>
    </row>
    <row r="12" spans="1:16" x14ac:dyDescent="0.3">
      <c r="B12" s="22" t="s">
        <v>16</v>
      </c>
      <c r="C12" s="22"/>
      <c r="D12" s="22"/>
      <c r="E12" s="21" t="s">
        <v>17</v>
      </c>
      <c r="F12" s="21"/>
      <c r="G12" s="21"/>
      <c r="H12" s="22" t="s">
        <v>18</v>
      </c>
      <c r="I12" s="22"/>
      <c r="J12" s="22"/>
      <c r="K12" s="21" t="s">
        <v>19</v>
      </c>
      <c r="L12" s="21"/>
      <c r="M12" s="21"/>
      <c r="N12" s="22" t="s">
        <v>20</v>
      </c>
      <c r="O12" s="22"/>
      <c r="P12" s="22"/>
    </row>
    <row r="13" spans="1:16" x14ac:dyDescent="0.3">
      <c r="A13" s="10" t="s">
        <v>16</v>
      </c>
      <c r="B13" s="11">
        <f>IF($I$8=1,B2,0)</f>
        <v>1</v>
      </c>
      <c r="C13" s="11">
        <f t="shared" ref="C13:P14" si="0">IF($I$8=1,C2,0)</f>
        <v>1</v>
      </c>
      <c r="D13" s="11">
        <f t="shared" si="0"/>
        <v>1</v>
      </c>
      <c r="E13" s="14">
        <f t="shared" si="0"/>
        <v>1</v>
      </c>
      <c r="F13" s="15">
        <f t="shared" si="0"/>
        <v>1</v>
      </c>
      <c r="G13" s="16">
        <f t="shared" si="0"/>
        <v>1</v>
      </c>
      <c r="H13" s="11">
        <f t="shared" si="0"/>
        <v>4</v>
      </c>
      <c r="I13" s="11">
        <f t="shared" si="0"/>
        <v>5</v>
      </c>
      <c r="J13" s="11">
        <f t="shared" si="0"/>
        <v>6</v>
      </c>
      <c r="K13" s="14">
        <f t="shared" si="0"/>
        <v>6</v>
      </c>
      <c r="L13" s="15">
        <f t="shared" si="0"/>
        <v>7</v>
      </c>
      <c r="M13" s="16">
        <f t="shared" si="0"/>
        <v>8</v>
      </c>
      <c r="N13" s="11">
        <f t="shared" si="0"/>
        <v>4</v>
      </c>
      <c r="O13" s="11">
        <f t="shared" si="0"/>
        <v>5</v>
      </c>
      <c r="P13" s="11">
        <f t="shared" si="0"/>
        <v>6</v>
      </c>
    </row>
    <row r="14" spans="1:16" x14ac:dyDescent="0.3">
      <c r="A14" s="17" t="s">
        <v>17</v>
      </c>
      <c r="B14" s="3">
        <f>IF($I$8=1,1/MAX(E13:G13),0)</f>
        <v>1</v>
      </c>
      <c r="C14" s="3">
        <f>IF($I$8=1,1/MEDIAN(E13:G13),0)</f>
        <v>1</v>
      </c>
      <c r="D14" s="3">
        <f>IF($I$8=1,1/MIN(E13:G13),0)</f>
        <v>1</v>
      </c>
      <c r="E14" s="14">
        <f t="shared" si="0"/>
        <v>1</v>
      </c>
      <c r="F14" s="15">
        <f t="shared" si="0"/>
        <v>1</v>
      </c>
      <c r="G14" s="16">
        <f t="shared" si="0"/>
        <v>1</v>
      </c>
      <c r="H14" s="11">
        <f t="shared" ref="H14:P14" si="1">IF($I$8=1,H3,0)</f>
        <v>4</v>
      </c>
      <c r="I14" s="11">
        <f t="shared" si="1"/>
        <v>5</v>
      </c>
      <c r="J14" s="11">
        <f t="shared" si="1"/>
        <v>6</v>
      </c>
      <c r="K14" s="14">
        <f t="shared" si="1"/>
        <v>6</v>
      </c>
      <c r="L14" s="15">
        <f t="shared" si="1"/>
        <v>7</v>
      </c>
      <c r="M14" s="16">
        <f t="shared" si="1"/>
        <v>8</v>
      </c>
      <c r="N14" s="11">
        <f t="shared" si="1"/>
        <v>6</v>
      </c>
      <c r="O14" s="11">
        <f t="shared" si="1"/>
        <v>7</v>
      </c>
      <c r="P14" s="11">
        <f t="shared" si="1"/>
        <v>8</v>
      </c>
    </row>
    <row r="15" spans="1:16" x14ac:dyDescent="0.3">
      <c r="A15" s="10" t="s">
        <v>18</v>
      </c>
      <c r="B15" s="3">
        <f>IF($I$8=1,1/MAX(H13:J13),0)</f>
        <v>0.16666666666666666</v>
      </c>
      <c r="C15" s="3">
        <f>IF($I$8=1,1/MEDIAN(H13:J13),0)</f>
        <v>0.2</v>
      </c>
      <c r="D15" s="3">
        <f>IF($I$8=1,1/MIN(H13:J13),0)</f>
        <v>0.25</v>
      </c>
      <c r="E15" s="3">
        <f>IF($I$8=1,1/MAX(H14:J14),0)</f>
        <v>0.16666666666666666</v>
      </c>
      <c r="F15" s="3">
        <f>IF($I$8=1,1/MEDIAN(H14:J14),0)</f>
        <v>0.2</v>
      </c>
      <c r="G15" s="3">
        <f>IF($I$8=1,1/MIN(H14:J14),0)</f>
        <v>0.25</v>
      </c>
      <c r="H15" s="11">
        <f t="shared" ref="H15:P15" si="2">IF($I$8=1,H4,0)</f>
        <v>1</v>
      </c>
      <c r="I15" s="11">
        <f t="shared" si="2"/>
        <v>1</v>
      </c>
      <c r="J15" s="11">
        <f t="shared" si="2"/>
        <v>1</v>
      </c>
      <c r="K15" s="14">
        <f t="shared" si="2"/>
        <v>0.25</v>
      </c>
      <c r="L15" s="15">
        <f t="shared" si="2"/>
        <v>0.33333333333333331</v>
      </c>
      <c r="M15" s="16">
        <f t="shared" si="2"/>
        <v>0.5</v>
      </c>
      <c r="N15" s="11">
        <f t="shared" si="2"/>
        <v>2</v>
      </c>
      <c r="O15" s="11">
        <f t="shared" si="2"/>
        <v>3</v>
      </c>
      <c r="P15" s="11">
        <f t="shared" si="2"/>
        <v>4</v>
      </c>
    </row>
    <row r="16" spans="1:16" x14ac:dyDescent="0.3">
      <c r="A16" s="17" t="s">
        <v>19</v>
      </c>
      <c r="B16" s="3">
        <f>IF($I$8=1,1/MAX(K13:M13),0)</f>
        <v>0.125</v>
      </c>
      <c r="C16" s="3">
        <f>IF($I$8=1,1/MEDIAN(K13:M13),0)</f>
        <v>0.14285714285714285</v>
      </c>
      <c r="D16" s="3">
        <f>IF($I$8=1,1/MIN(K13:M13),0)</f>
        <v>0.16666666666666666</v>
      </c>
      <c r="E16" s="3">
        <f>IF($I$8=1,1/MAX(K14:M14),0)</f>
        <v>0.125</v>
      </c>
      <c r="F16" s="3">
        <f>IF($I$8=1,1/MEDIAN(K14:M14),0)</f>
        <v>0.14285714285714285</v>
      </c>
      <c r="G16" s="3">
        <f>IF($I$8=1,1/MIN(K14:M14),0)</f>
        <v>0.16666666666666666</v>
      </c>
      <c r="H16" s="3">
        <f>IF($I$8=1,1/MAX(K15:M15),0)</f>
        <v>2</v>
      </c>
      <c r="I16" s="3">
        <f>IF($I$8=1,1/MEDIAN(K15:M15),0)</f>
        <v>3</v>
      </c>
      <c r="J16" s="3">
        <f>IF($I$8=1,1/MIN(K15:M15),0)</f>
        <v>4</v>
      </c>
      <c r="K16" s="14">
        <f t="shared" ref="K16:P16" si="3">IF($I$8=1,K5,0)</f>
        <v>1</v>
      </c>
      <c r="L16" s="15">
        <f t="shared" si="3"/>
        <v>1</v>
      </c>
      <c r="M16" s="16">
        <f t="shared" si="3"/>
        <v>1</v>
      </c>
      <c r="N16" s="11">
        <f t="shared" si="3"/>
        <v>0.16666666666666666</v>
      </c>
      <c r="O16" s="11">
        <f t="shared" si="3"/>
        <v>0.2</v>
      </c>
      <c r="P16" s="11">
        <f t="shared" si="3"/>
        <v>0.25</v>
      </c>
    </row>
    <row r="17" spans="1:16" x14ac:dyDescent="0.3">
      <c r="A17" s="10" t="s">
        <v>20</v>
      </c>
      <c r="B17" s="3">
        <f>IF($I$8=1,1/MAX(N13:P13),0)</f>
        <v>0.16666666666666666</v>
      </c>
      <c r="C17" s="3">
        <f>IF($I$8=1,1/MEDIAN(N13:P13),0)</f>
        <v>0.2</v>
      </c>
      <c r="D17" s="3">
        <f>IF($I$8=1,1/MIN(N13:P13),0)</f>
        <v>0.25</v>
      </c>
      <c r="E17" s="3">
        <f>IF($I$8=1,1/MAX(N14:P14),0)</f>
        <v>0.125</v>
      </c>
      <c r="F17" s="3">
        <f>IF($I$8=1,1/MEDIAN(N14:P14),0)</f>
        <v>0.14285714285714285</v>
      </c>
      <c r="G17" s="3">
        <f>IF($I$8=1,1/MIN(N14:P14),0)</f>
        <v>0.16666666666666666</v>
      </c>
      <c r="H17" s="3">
        <f>IF($I$8=1,1/MAX(N15:P15),0)</f>
        <v>0.25</v>
      </c>
      <c r="I17" s="3">
        <f>IF($I$8=1,1/MEDIAN(N15:P15),0)</f>
        <v>0.33333333333333331</v>
      </c>
      <c r="J17" s="3">
        <f>IF($I$8=1,1/MIN(N15:P15),0)</f>
        <v>0.5</v>
      </c>
      <c r="K17" s="3">
        <f>IF($I$8=1,1/MAX(N16:P16),0)</f>
        <v>4</v>
      </c>
      <c r="L17" s="3">
        <f>IF($I$8=1,1/MEDIAN(N16:P16),0)</f>
        <v>5</v>
      </c>
      <c r="M17" s="3">
        <f>IF($I$8=1,1/MIN(N16:P16),0)</f>
        <v>6</v>
      </c>
      <c r="N17" s="11">
        <f t="shared" ref="N17:P17" si="4">IF($I$8=1,N6,0)</f>
        <v>1</v>
      </c>
      <c r="O17" s="11">
        <f t="shared" si="4"/>
        <v>1</v>
      </c>
      <c r="P17" s="11">
        <f t="shared" si="4"/>
        <v>1</v>
      </c>
    </row>
    <row r="19" spans="1:16" x14ac:dyDescent="0.3">
      <c r="C19">
        <v>1</v>
      </c>
    </row>
    <row r="23" spans="1:16" x14ac:dyDescent="0.3">
      <c r="B23" s="19" t="s">
        <v>21</v>
      </c>
      <c r="C23" s="19"/>
      <c r="D23" s="19"/>
      <c r="J23" s="20" t="s">
        <v>22</v>
      </c>
      <c r="K23" s="20"/>
      <c r="L23" s="20"/>
      <c r="M23" t="s">
        <v>23</v>
      </c>
      <c r="N23" t="s">
        <v>26</v>
      </c>
    </row>
    <row r="24" spans="1:16" x14ac:dyDescent="0.3">
      <c r="A24" s="10" t="s">
        <v>16</v>
      </c>
      <c r="B24" s="18">
        <f>IF($C$19=1,GEOMEAN(B13,E13,H13,K13,N13),0)</f>
        <v>2.4914618792310348</v>
      </c>
      <c r="C24" s="18">
        <f t="shared" ref="C24:D24" si="5">IF($C$19=1,GEOMEAN(C13,F13,I13,L13,O13),0)</f>
        <v>2.8093613917206537</v>
      </c>
      <c r="D24" s="18">
        <f t="shared" si="5"/>
        <v>3.1036911478307196</v>
      </c>
      <c r="I24" s="10" t="s">
        <v>16</v>
      </c>
      <c r="J24" s="18">
        <f t="shared" ref="J24:L28" si="6">IF($F$26=1,B24*B$31,0)</f>
        <v>0.30387157227617195</v>
      </c>
      <c r="K24" s="18">
        <f t="shared" si="6"/>
        <v>0.38494427195552822</v>
      </c>
      <c r="L24" s="18">
        <f t="shared" si="6"/>
        <v>0.48276489445040688</v>
      </c>
      <c r="M24">
        <f>AVERAGE(J24:L24)</f>
        <v>0.39052691289403568</v>
      </c>
      <c r="N24">
        <f>IF(AND($F$26=1,$C$19=1),M24/$M$29,0)</f>
        <v>0.38293967781531879</v>
      </c>
    </row>
    <row r="25" spans="1:16" x14ac:dyDescent="0.3">
      <c r="A25" s="17" t="s">
        <v>17</v>
      </c>
      <c r="B25" s="18">
        <f t="shared" ref="B25:B28" si="7">IF($C$19=1,GEOMEAN(B14,E14,H14,K14,N14),0)</f>
        <v>2.7019200770412271</v>
      </c>
      <c r="C25" s="18">
        <f t="shared" ref="C25:C28" si="8">IF($C$19=1,GEOMEAN(C14,F14,I14,L14,O14),0)</f>
        <v>3.0049220937458307</v>
      </c>
      <c r="D25" s="18">
        <f t="shared" ref="D25:D28" si="9">IF($C$19=1,GEOMEAN(D14,G14,J14,M14,P14),0)</f>
        <v>3.2875036590344515</v>
      </c>
      <c r="I25" s="17" t="s">
        <v>17</v>
      </c>
      <c r="J25" s="18">
        <f t="shared" si="6"/>
        <v>0.32954014220296968</v>
      </c>
      <c r="K25" s="18">
        <f t="shared" si="6"/>
        <v>0.41174038735956564</v>
      </c>
      <c r="L25" s="18">
        <f t="shared" si="6"/>
        <v>0.51135608582328429</v>
      </c>
      <c r="M25">
        <f t="shared" ref="M25:M28" si="10">AVERAGE(J25:L25)</f>
        <v>0.41754553846193981</v>
      </c>
      <c r="N25">
        <f>IF(AND($F$26=1,$C$19=1),M25/$M$29,0)</f>
        <v>0.40943338011437985</v>
      </c>
    </row>
    <row r="26" spans="1:16" x14ac:dyDescent="0.3">
      <c r="A26" s="10" t="s">
        <v>18</v>
      </c>
      <c r="B26" s="18">
        <f t="shared" si="7"/>
        <v>0.42514150020859692</v>
      </c>
      <c r="C26" s="18">
        <f t="shared" si="8"/>
        <v>0.52530556088075342</v>
      </c>
      <c r="D26" s="18">
        <f t="shared" si="9"/>
        <v>0.6597539553864471</v>
      </c>
      <c r="F26">
        <v>1</v>
      </c>
      <c r="I26" s="10" t="s">
        <v>18</v>
      </c>
      <c r="J26" s="18">
        <f t="shared" si="6"/>
        <v>5.1852455454028286E-2</v>
      </c>
      <c r="K26" s="18">
        <f t="shared" si="6"/>
        <v>7.1978410212145086E-2</v>
      </c>
      <c r="L26" s="18">
        <f t="shared" si="6"/>
        <v>0.10262169573734545</v>
      </c>
      <c r="M26">
        <f t="shared" si="10"/>
        <v>7.5484187134506275E-2</v>
      </c>
      <c r="N26">
        <f>IF(AND($F$26=1,$C$19=1),M26/$M$29,0)</f>
        <v>7.4017665228829688E-2</v>
      </c>
    </row>
    <row r="27" spans="1:16" x14ac:dyDescent="0.3">
      <c r="A27" s="17" t="s">
        <v>19</v>
      </c>
      <c r="B27" s="18">
        <f t="shared" si="7"/>
        <v>0.34941355938578961</v>
      </c>
      <c r="C27" s="18">
        <f t="shared" si="8"/>
        <v>0.41456347311242026</v>
      </c>
      <c r="D27" s="18">
        <f t="shared" si="9"/>
        <v>0.48835934193058694</v>
      </c>
      <c r="I27" s="17" t="s">
        <v>19</v>
      </c>
      <c r="J27" s="18">
        <f t="shared" si="6"/>
        <v>4.2616284258759719E-2</v>
      </c>
      <c r="K27" s="18">
        <f t="shared" si="6"/>
        <v>5.6804309622435323E-2</v>
      </c>
      <c r="L27" s="18">
        <f t="shared" si="6"/>
        <v>7.5962051290371771E-2</v>
      </c>
      <c r="M27">
        <f t="shared" si="10"/>
        <v>5.8460881723855607E-2</v>
      </c>
      <c r="N27">
        <f>IF(AND($F$26=1,$C$19=1),M27/$M$29,0)</f>
        <v>5.732509200513701E-2</v>
      </c>
    </row>
    <row r="28" spans="1:16" x14ac:dyDescent="0.3">
      <c r="A28" s="10" t="s">
        <v>20</v>
      </c>
      <c r="B28" s="18">
        <f t="shared" si="7"/>
        <v>0.46105395574086389</v>
      </c>
      <c r="C28" s="18">
        <f t="shared" si="8"/>
        <v>0.5439464428888785</v>
      </c>
      <c r="D28" s="18">
        <f t="shared" si="9"/>
        <v>0.6597539553864471</v>
      </c>
      <c r="I28" s="10" t="s">
        <v>20</v>
      </c>
      <c r="J28" s="18">
        <f t="shared" si="6"/>
        <v>5.6232524207179821E-2</v>
      </c>
      <c r="K28" s="18">
        <f t="shared" si="6"/>
        <v>7.4532620850325637E-2</v>
      </c>
      <c r="L28" s="18">
        <f t="shared" si="6"/>
        <v>0.10262169573734545</v>
      </c>
      <c r="M28">
        <f t="shared" si="10"/>
        <v>7.7795613598283644E-2</v>
      </c>
      <c r="N28">
        <f>IF(AND($F$26=1,$C$19=1),M28/$M$29,0)</f>
        <v>7.6284184836334631E-2</v>
      </c>
    </row>
    <row r="29" spans="1:16" x14ac:dyDescent="0.3">
      <c r="A29" s="17" t="s">
        <v>12</v>
      </c>
      <c r="B29">
        <f>SUM(B24:B28)</f>
        <v>6.4289909716075124</v>
      </c>
      <c r="C29">
        <f t="shared" ref="C29:D29" si="11">SUM(C24:C28)</f>
        <v>7.2980989623485373</v>
      </c>
      <c r="D29">
        <f t="shared" si="11"/>
        <v>8.1990620595686519</v>
      </c>
      <c r="I29" s="17" t="s">
        <v>12</v>
      </c>
      <c r="M29">
        <f>SUM(M24:M28)</f>
        <v>1.0198131338126211</v>
      </c>
      <c r="N29">
        <f>SUM(N24:N28)</f>
        <v>0.99999999999999989</v>
      </c>
    </row>
    <row r="30" spans="1:16" x14ac:dyDescent="0.3">
      <c r="A30" s="10" t="s">
        <v>24</v>
      </c>
      <c r="B30" s="18">
        <f>IF($C$19=1,1/B29,0)</f>
        <v>0.15554540431248401</v>
      </c>
      <c r="C30" s="18">
        <f t="shared" ref="C30:D30" si="12">IF($C$19=1,1/C29,0)</f>
        <v>0.13702198410285721</v>
      </c>
      <c r="D30" s="18">
        <f t="shared" si="12"/>
        <v>0.12196517025175553</v>
      </c>
    </row>
    <row r="31" spans="1:16" x14ac:dyDescent="0.3">
      <c r="A31" s="17" t="s">
        <v>25</v>
      </c>
      <c r="B31">
        <f>MIN(B30:D30)</f>
        <v>0.12196517025175553</v>
      </c>
      <c r="C31">
        <f>MEDIAN(B30:D30)</f>
        <v>0.13702198410285721</v>
      </c>
      <c r="D31">
        <f>MAX(B30:D30)</f>
        <v>0.15554540431248401</v>
      </c>
    </row>
    <row r="39" spans="1:16" x14ac:dyDescent="0.3">
      <c r="A39" t="s">
        <v>4</v>
      </c>
      <c r="B39" s="22" t="s">
        <v>5</v>
      </c>
      <c r="C39" s="22"/>
      <c r="D39" s="22"/>
      <c r="E39" s="21" t="s">
        <v>6</v>
      </c>
      <c r="F39" s="21"/>
      <c r="G39" s="21"/>
      <c r="H39" s="22" t="s">
        <v>7</v>
      </c>
      <c r="I39" s="22"/>
      <c r="J39" s="22"/>
      <c r="K39" s="21" t="s">
        <v>8</v>
      </c>
      <c r="L39" s="21"/>
      <c r="M39" s="21"/>
      <c r="N39" s="22" t="s">
        <v>27</v>
      </c>
      <c r="O39" s="22"/>
      <c r="P39" s="22"/>
    </row>
    <row r="40" spans="1:16" x14ac:dyDescent="0.3">
      <c r="A40" s="10" t="s">
        <v>5</v>
      </c>
      <c r="B40" s="11">
        <v>1</v>
      </c>
      <c r="C40" s="12">
        <v>1</v>
      </c>
      <c r="D40" s="13">
        <v>1</v>
      </c>
      <c r="E40" s="14">
        <v>1</v>
      </c>
      <c r="F40" s="15">
        <v>1</v>
      </c>
      <c r="G40" s="16">
        <v>1</v>
      </c>
      <c r="H40" s="11">
        <v>4</v>
      </c>
      <c r="I40" s="12">
        <v>5</v>
      </c>
      <c r="J40" s="13">
        <v>6</v>
      </c>
      <c r="K40" s="14">
        <v>6</v>
      </c>
      <c r="L40" s="15">
        <v>7</v>
      </c>
      <c r="M40" s="16">
        <v>8</v>
      </c>
      <c r="N40" s="11">
        <v>4</v>
      </c>
      <c r="O40" s="12">
        <v>5</v>
      </c>
      <c r="P40" s="13">
        <v>6</v>
      </c>
    </row>
    <row r="41" spans="1:16" x14ac:dyDescent="0.3">
      <c r="A41" s="17" t="s">
        <v>6</v>
      </c>
      <c r="B41" s="3"/>
      <c r="C41" s="3"/>
      <c r="D41" s="3"/>
      <c r="E41" s="14">
        <v>1</v>
      </c>
      <c r="F41" s="15">
        <v>1</v>
      </c>
      <c r="G41" s="16">
        <v>1</v>
      </c>
      <c r="H41" s="11">
        <v>4</v>
      </c>
      <c r="I41" s="12">
        <v>5</v>
      </c>
      <c r="J41" s="13">
        <v>6</v>
      </c>
      <c r="K41" s="14">
        <v>6</v>
      </c>
      <c r="L41" s="15">
        <v>7</v>
      </c>
      <c r="M41" s="16">
        <v>8</v>
      </c>
      <c r="N41" s="11">
        <v>6</v>
      </c>
      <c r="O41" s="12">
        <v>7</v>
      </c>
      <c r="P41" s="13">
        <v>8</v>
      </c>
    </row>
    <row r="42" spans="1:16" x14ac:dyDescent="0.3">
      <c r="A42" s="10" t="s">
        <v>7</v>
      </c>
      <c r="B42" s="3"/>
      <c r="C42" s="3"/>
      <c r="D42" s="3"/>
      <c r="E42" s="3"/>
      <c r="F42" s="3"/>
      <c r="G42" s="3"/>
      <c r="H42" s="11">
        <v>1</v>
      </c>
      <c r="I42" s="12">
        <v>1</v>
      </c>
      <c r="J42" s="13">
        <v>1</v>
      </c>
      <c r="K42" s="14">
        <f>1/4</f>
        <v>0.25</v>
      </c>
      <c r="L42" s="15">
        <f>1/3</f>
        <v>0.33333333333333331</v>
      </c>
      <c r="M42" s="16">
        <f>1/2</f>
        <v>0.5</v>
      </c>
      <c r="N42" s="11">
        <v>2</v>
      </c>
      <c r="O42" s="12">
        <v>3</v>
      </c>
      <c r="P42" s="13">
        <v>4</v>
      </c>
    </row>
    <row r="43" spans="1:16" x14ac:dyDescent="0.3">
      <c r="A43" s="17" t="s">
        <v>8</v>
      </c>
      <c r="B43" s="3"/>
      <c r="C43" s="3"/>
      <c r="D43" s="3"/>
      <c r="E43" s="3"/>
      <c r="F43" s="3"/>
      <c r="G43" s="3"/>
      <c r="H43" s="3"/>
      <c r="I43" s="3"/>
      <c r="J43" s="3"/>
      <c r="K43" s="14">
        <v>1</v>
      </c>
      <c r="L43" s="15">
        <v>1</v>
      </c>
      <c r="M43" s="16">
        <v>1</v>
      </c>
      <c r="N43" s="11">
        <f>1/6</f>
        <v>0.16666666666666666</v>
      </c>
      <c r="O43" s="12">
        <f>1/5</f>
        <v>0.2</v>
      </c>
      <c r="P43" s="13">
        <f>1/4</f>
        <v>0.25</v>
      </c>
    </row>
    <row r="44" spans="1:16" x14ac:dyDescent="0.3">
      <c r="A44" s="10" t="s">
        <v>27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11">
        <v>1</v>
      </c>
      <c r="O44" s="12">
        <v>1</v>
      </c>
      <c r="P44" s="13">
        <v>1</v>
      </c>
    </row>
    <row r="46" spans="1:16" x14ac:dyDescent="0.3">
      <c r="I46">
        <v>1</v>
      </c>
    </row>
    <row r="50" spans="1:16" x14ac:dyDescent="0.3">
      <c r="B50" s="22" t="s">
        <v>5</v>
      </c>
      <c r="C50" s="22"/>
      <c r="D50" s="22"/>
      <c r="E50" s="21" t="s">
        <v>6</v>
      </c>
      <c r="F50" s="21"/>
      <c r="G50" s="21"/>
      <c r="H50" s="22" t="s">
        <v>7</v>
      </c>
      <c r="I50" s="22"/>
      <c r="J50" s="22"/>
      <c r="K50" s="21" t="s">
        <v>8</v>
      </c>
      <c r="L50" s="21"/>
      <c r="M50" s="21"/>
      <c r="N50" s="22" t="s">
        <v>27</v>
      </c>
      <c r="O50" s="22"/>
      <c r="P50" s="22"/>
    </row>
    <row r="51" spans="1:16" x14ac:dyDescent="0.3">
      <c r="A51" s="10" t="s">
        <v>5</v>
      </c>
      <c r="B51" s="11">
        <f t="shared" ref="B51:P51" si="13">IF($I$46=1,B40,0)</f>
        <v>1</v>
      </c>
      <c r="C51" s="11">
        <f t="shared" si="13"/>
        <v>1</v>
      </c>
      <c r="D51" s="11">
        <f t="shared" si="13"/>
        <v>1</v>
      </c>
      <c r="E51" s="14">
        <f t="shared" si="13"/>
        <v>1</v>
      </c>
      <c r="F51" s="15">
        <f t="shared" si="13"/>
        <v>1</v>
      </c>
      <c r="G51" s="16">
        <f t="shared" si="13"/>
        <v>1</v>
      </c>
      <c r="H51" s="11">
        <f t="shared" si="13"/>
        <v>4</v>
      </c>
      <c r="I51" s="11">
        <f t="shared" si="13"/>
        <v>5</v>
      </c>
      <c r="J51" s="11">
        <f t="shared" si="13"/>
        <v>6</v>
      </c>
      <c r="K51" s="14">
        <f t="shared" si="13"/>
        <v>6</v>
      </c>
      <c r="L51" s="15">
        <f t="shared" si="13"/>
        <v>7</v>
      </c>
      <c r="M51" s="16">
        <f t="shared" si="13"/>
        <v>8</v>
      </c>
      <c r="N51" s="11">
        <f t="shared" si="13"/>
        <v>4</v>
      </c>
      <c r="O51" s="11">
        <f t="shared" si="13"/>
        <v>5</v>
      </c>
      <c r="P51" s="11">
        <f t="shared" si="13"/>
        <v>6</v>
      </c>
    </row>
    <row r="52" spans="1:16" x14ac:dyDescent="0.3">
      <c r="A52" s="17" t="s">
        <v>6</v>
      </c>
      <c r="B52" s="3">
        <f>IF($I$46=1,1/MAX(E51:G51),0)</f>
        <v>1</v>
      </c>
      <c r="C52" s="3">
        <f>IF($I$46=1,1/MEDIAN(E51:G51),0)</f>
        <v>1</v>
      </c>
      <c r="D52" s="3">
        <f>IF($I$46=1,1/MIN(E51:G51),0)</f>
        <v>1</v>
      </c>
      <c r="E52" s="14">
        <f t="shared" ref="E52:P52" si="14">IF($I$46=1,E41,0)</f>
        <v>1</v>
      </c>
      <c r="F52" s="15">
        <f t="shared" si="14"/>
        <v>1</v>
      </c>
      <c r="G52" s="16">
        <f t="shared" si="14"/>
        <v>1</v>
      </c>
      <c r="H52" s="11">
        <f t="shared" si="14"/>
        <v>4</v>
      </c>
      <c r="I52" s="11">
        <f t="shared" si="14"/>
        <v>5</v>
      </c>
      <c r="J52" s="11">
        <f t="shared" si="14"/>
        <v>6</v>
      </c>
      <c r="K52" s="14">
        <f t="shared" si="14"/>
        <v>6</v>
      </c>
      <c r="L52" s="15">
        <f t="shared" si="14"/>
        <v>7</v>
      </c>
      <c r="M52" s="16">
        <f t="shared" si="14"/>
        <v>8</v>
      </c>
      <c r="N52" s="11">
        <f t="shared" si="14"/>
        <v>6</v>
      </c>
      <c r="O52" s="11">
        <f t="shared" si="14"/>
        <v>7</v>
      </c>
      <c r="P52" s="11">
        <f t="shared" si="14"/>
        <v>8</v>
      </c>
    </row>
    <row r="53" spans="1:16" x14ac:dyDescent="0.3">
      <c r="A53" s="10" t="s">
        <v>7</v>
      </c>
      <c r="B53" s="3">
        <f>IF($I$46=1,1/MAX(H51:J51),0)</f>
        <v>0.16666666666666666</v>
      </c>
      <c r="C53" s="3">
        <f>IF($I$46=1,1/MEDIAN(H51:J51),0)</f>
        <v>0.2</v>
      </c>
      <c r="D53" s="3">
        <f>IF($I$46=1,1/MIN(H51:J51),0)</f>
        <v>0.25</v>
      </c>
      <c r="E53" s="3">
        <f>IF($I$46=1,1/MAX(H52:J52),0)</f>
        <v>0.16666666666666666</v>
      </c>
      <c r="F53" s="3">
        <f>IF($I$46=1,1/MEDIAN(H52:J52),0)</f>
        <v>0.2</v>
      </c>
      <c r="G53" s="3">
        <f>IF($I$46=1,1/MIN(H52:J52),0)</f>
        <v>0.25</v>
      </c>
      <c r="H53" s="11">
        <f t="shared" ref="H53:P53" si="15">IF($I$46=1,H42,0)</f>
        <v>1</v>
      </c>
      <c r="I53" s="11">
        <f t="shared" si="15"/>
        <v>1</v>
      </c>
      <c r="J53" s="11">
        <f t="shared" si="15"/>
        <v>1</v>
      </c>
      <c r="K53" s="14">
        <f t="shared" si="15"/>
        <v>0.25</v>
      </c>
      <c r="L53" s="15">
        <f t="shared" si="15"/>
        <v>0.33333333333333331</v>
      </c>
      <c r="M53" s="16">
        <f t="shared" si="15"/>
        <v>0.5</v>
      </c>
      <c r="N53" s="11">
        <f t="shared" si="15"/>
        <v>2</v>
      </c>
      <c r="O53" s="11">
        <f t="shared" si="15"/>
        <v>3</v>
      </c>
      <c r="P53" s="11">
        <f t="shared" si="15"/>
        <v>4</v>
      </c>
    </row>
    <row r="54" spans="1:16" x14ac:dyDescent="0.3">
      <c r="A54" s="17" t="s">
        <v>8</v>
      </c>
      <c r="B54" s="3">
        <f>IF($I$46=1,1/MAX(K51:M51),0)</f>
        <v>0.125</v>
      </c>
      <c r="C54" s="3">
        <f>IF($I$46=1,1/MEDIAN(K51:M51),0)</f>
        <v>0.14285714285714285</v>
      </c>
      <c r="D54" s="3">
        <f>IF($I$46=1,1/MIN(K51:M51),0)</f>
        <v>0.16666666666666666</v>
      </c>
      <c r="E54" s="3">
        <f>IF($I$46=1,1/MAX(K52:M52),0)</f>
        <v>0.125</v>
      </c>
      <c r="F54" s="3">
        <f>IF($I$46=1,1/MEDIAN(K52:M52),0)</f>
        <v>0.14285714285714285</v>
      </c>
      <c r="G54" s="3">
        <f>IF($I$46=1,1/MIN(K52:M52),0)</f>
        <v>0.16666666666666666</v>
      </c>
      <c r="H54" s="3">
        <f>IF($I$46=1,1/MAX(K53:M53),0)</f>
        <v>2</v>
      </c>
      <c r="I54" s="3">
        <f>IF($I$46=1,1/MEDIAN(K53:M53),0)</f>
        <v>3</v>
      </c>
      <c r="J54" s="3">
        <f>IF($I$46=1,1/MIN(K53:M53),0)</f>
        <v>4</v>
      </c>
      <c r="K54" s="14">
        <f t="shared" ref="K54:P54" si="16">IF($I$46=1,K43,0)</f>
        <v>1</v>
      </c>
      <c r="L54" s="15">
        <f t="shared" si="16"/>
        <v>1</v>
      </c>
      <c r="M54" s="16">
        <f t="shared" si="16"/>
        <v>1</v>
      </c>
      <c r="N54" s="11">
        <f t="shared" si="16"/>
        <v>0.16666666666666666</v>
      </c>
      <c r="O54" s="11">
        <f t="shared" si="16"/>
        <v>0.2</v>
      </c>
      <c r="P54" s="11">
        <f t="shared" si="16"/>
        <v>0.25</v>
      </c>
    </row>
    <row r="55" spans="1:16" x14ac:dyDescent="0.3">
      <c r="A55" s="10" t="s">
        <v>27</v>
      </c>
      <c r="B55" s="3">
        <f>IF($I$46=1,1/MAX(N51:P51),0)</f>
        <v>0.16666666666666666</v>
      </c>
      <c r="C55" s="3">
        <f>IF($I$46=1,1/MEDIAN(N51:P51),0)</f>
        <v>0.2</v>
      </c>
      <c r="D55" s="3">
        <f>IF($I$46=1,1/MIN(N51:P51),0)</f>
        <v>0.25</v>
      </c>
      <c r="E55" s="3">
        <f>IF($I$46=1,1/MAX(N52:P52),0)</f>
        <v>0.125</v>
      </c>
      <c r="F55" s="3">
        <f>IF($I$46=1,1/MEDIAN(N52:P52),0)</f>
        <v>0.14285714285714285</v>
      </c>
      <c r="G55" s="3">
        <f>IF($I$46=1,1/MIN(N52:P52),0)</f>
        <v>0.16666666666666666</v>
      </c>
      <c r="H55" s="3">
        <f>IF($I$46=1,1/MAX(N53:P53),0)</f>
        <v>0.25</v>
      </c>
      <c r="I55" s="3">
        <f>IF($I$46=1,1/MEDIAN(N53:P53),0)</f>
        <v>0.33333333333333331</v>
      </c>
      <c r="J55" s="3">
        <f>IF($I$46=1,1/MIN(N53:P53),0)</f>
        <v>0.5</v>
      </c>
      <c r="K55" s="3">
        <f>IF($I$46=1,1/MAX(N54:P54),0)</f>
        <v>4</v>
      </c>
      <c r="L55" s="3">
        <f>IF($I$46=1,1/MEDIAN(N54:P54),0)</f>
        <v>5</v>
      </c>
      <c r="M55" s="3">
        <f>IF($I$46=1,1/MIN(N54:P54),0)</f>
        <v>6</v>
      </c>
      <c r="N55" s="11">
        <f>IF($I$46=1,N44,0)</f>
        <v>1</v>
      </c>
      <c r="O55" s="11">
        <f>IF($I$46=1,O44,0)</f>
        <v>1</v>
      </c>
      <c r="P55" s="11">
        <f>IF($I$46=1,P44,0)</f>
        <v>1</v>
      </c>
    </row>
    <row r="57" spans="1:16" x14ac:dyDescent="0.3">
      <c r="C57">
        <v>1</v>
      </c>
      <c r="I57">
        <v>1</v>
      </c>
    </row>
    <row r="61" spans="1:16" x14ac:dyDescent="0.3">
      <c r="B61" s="19" t="s">
        <v>21</v>
      </c>
      <c r="C61" s="19"/>
      <c r="D61" s="19"/>
      <c r="J61" s="20" t="s">
        <v>22</v>
      </c>
      <c r="K61" s="20"/>
      <c r="L61" s="20"/>
      <c r="M61" t="s">
        <v>23</v>
      </c>
      <c r="N61" t="s">
        <v>26</v>
      </c>
    </row>
    <row r="62" spans="1:16" x14ac:dyDescent="0.3">
      <c r="A62" s="10" t="s">
        <v>5</v>
      </c>
      <c r="B62" s="18">
        <f>IF($C$57=1,GEOMEAN(B51,E51,H51,K51,N51),0)</f>
        <v>2.4914618792310348</v>
      </c>
      <c r="C62" s="18">
        <f t="shared" ref="C62:D62" si="17">IF($C$57=1,GEOMEAN(C51,F51,I51,L51,O51),0)</f>
        <v>2.8093613917206537</v>
      </c>
      <c r="D62" s="18">
        <f t="shared" si="17"/>
        <v>3.1036911478307196</v>
      </c>
      <c r="I62" s="10" t="s">
        <v>5</v>
      </c>
      <c r="J62" s="18">
        <f>IF($F$64=1,B62*B$31,0)</f>
        <v>0.30387157227617195</v>
      </c>
      <c r="K62" s="18">
        <f t="shared" ref="K62:L62" si="18">IF($F$64=1,C62*C$31,0)</f>
        <v>0.38494427195552822</v>
      </c>
      <c r="L62" s="18">
        <f t="shared" si="18"/>
        <v>0.48276489445040688</v>
      </c>
      <c r="M62">
        <f>AVERAGE(J62:L62)</f>
        <v>0.39052691289403568</v>
      </c>
      <c r="N62">
        <f>IF(AND($F$64=1,$C$57=1),M62/$M$29,0)</f>
        <v>0.38293967781531879</v>
      </c>
    </row>
    <row r="63" spans="1:16" x14ac:dyDescent="0.3">
      <c r="A63" s="17" t="s">
        <v>6</v>
      </c>
      <c r="B63" s="18">
        <f t="shared" ref="B63:B66" si="19">IF($C$57=1,GEOMEAN(B52,E52,H52,K52,N52),0)</f>
        <v>2.7019200770412271</v>
      </c>
      <c r="C63" s="18">
        <f t="shared" ref="C63:C66" si="20">IF($C$57=1,GEOMEAN(C52,F52,I52,L52,O52),0)</f>
        <v>3.0049220937458307</v>
      </c>
      <c r="D63" s="18">
        <f t="shared" ref="D63:D66" si="21">IF($C$57=1,GEOMEAN(D52,G52,J52,M52,P52),0)</f>
        <v>3.2875036590344515</v>
      </c>
      <c r="I63" s="17" t="s">
        <v>6</v>
      </c>
      <c r="J63" s="18">
        <f t="shared" ref="J63:J66" si="22">IF($F$64=1,B63*B$31,0)</f>
        <v>0.32954014220296968</v>
      </c>
      <c r="K63" s="18">
        <f t="shared" ref="K63:K66" si="23">IF($F$64=1,C63*C$31,0)</f>
        <v>0.41174038735956564</v>
      </c>
      <c r="L63" s="18">
        <f t="shared" ref="L63:L66" si="24">IF($F$64=1,D63*D$31,0)</f>
        <v>0.51135608582328429</v>
      </c>
      <c r="M63">
        <f t="shared" ref="M63:M66" si="25">AVERAGE(J63:L63)</f>
        <v>0.41754553846193981</v>
      </c>
      <c r="N63">
        <f t="shared" ref="N63:N66" si="26">IF(AND($F$64=1,$C$57=1),M63/$M$29,0)</f>
        <v>0.40943338011437985</v>
      </c>
    </row>
    <row r="64" spans="1:16" x14ac:dyDescent="0.3">
      <c r="A64" s="10" t="s">
        <v>7</v>
      </c>
      <c r="B64" s="18">
        <f t="shared" si="19"/>
        <v>0.42514150020859692</v>
      </c>
      <c r="C64" s="18">
        <f t="shared" si="20"/>
        <v>0.52530556088075342</v>
      </c>
      <c r="D64" s="18">
        <f t="shared" si="21"/>
        <v>0.6597539553864471</v>
      </c>
      <c r="F64">
        <v>1</v>
      </c>
      <c r="I64" s="10" t="s">
        <v>7</v>
      </c>
      <c r="J64" s="18">
        <f t="shared" si="22"/>
        <v>5.1852455454028286E-2</v>
      </c>
      <c r="K64" s="18">
        <f t="shared" si="23"/>
        <v>7.1978410212145086E-2</v>
      </c>
      <c r="L64" s="18">
        <f t="shared" si="24"/>
        <v>0.10262169573734545</v>
      </c>
      <c r="M64">
        <f t="shared" si="25"/>
        <v>7.5484187134506275E-2</v>
      </c>
      <c r="N64">
        <f t="shared" si="26"/>
        <v>7.4017665228829688E-2</v>
      </c>
    </row>
    <row r="65" spans="1:16" x14ac:dyDescent="0.3">
      <c r="A65" s="17" t="s">
        <v>8</v>
      </c>
      <c r="B65" s="18">
        <f t="shared" si="19"/>
        <v>0.34941355938578961</v>
      </c>
      <c r="C65" s="18">
        <f t="shared" si="20"/>
        <v>0.41456347311242026</v>
      </c>
      <c r="D65" s="18">
        <f t="shared" si="21"/>
        <v>0.48835934193058694</v>
      </c>
      <c r="I65" s="17" t="s">
        <v>8</v>
      </c>
      <c r="J65" s="18">
        <f t="shared" si="22"/>
        <v>4.2616284258759719E-2</v>
      </c>
      <c r="K65" s="18">
        <f t="shared" si="23"/>
        <v>5.6804309622435323E-2</v>
      </c>
      <c r="L65" s="18">
        <f t="shared" si="24"/>
        <v>7.5962051290371771E-2</v>
      </c>
      <c r="M65">
        <f t="shared" si="25"/>
        <v>5.8460881723855607E-2</v>
      </c>
      <c r="N65">
        <f t="shared" si="26"/>
        <v>5.732509200513701E-2</v>
      </c>
    </row>
    <row r="66" spans="1:16" x14ac:dyDescent="0.3">
      <c r="A66" s="10" t="s">
        <v>27</v>
      </c>
      <c r="B66" s="18">
        <f t="shared" si="19"/>
        <v>0.46105395574086389</v>
      </c>
      <c r="C66" s="18">
        <f t="shared" si="20"/>
        <v>0.5439464428888785</v>
      </c>
      <c r="D66" s="18">
        <f t="shared" si="21"/>
        <v>0.6597539553864471</v>
      </c>
      <c r="I66" s="10" t="s">
        <v>27</v>
      </c>
      <c r="J66" s="18">
        <f t="shared" si="22"/>
        <v>5.6232524207179821E-2</v>
      </c>
      <c r="K66" s="18">
        <f t="shared" si="23"/>
        <v>7.4532620850325637E-2</v>
      </c>
      <c r="L66" s="18">
        <f t="shared" si="24"/>
        <v>0.10262169573734545</v>
      </c>
      <c r="M66">
        <f t="shared" si="25"/>
        <v>7.7795613598283644E-2</v>
      </c>
      <c r="N66">
        <f t="shared" si="26"/>
        <v>7.6284184836334631E-2</v>
      </c>
    </row>
    <row r="67" spans="1:16" x14ac:dyDescent="0.3">
      <c r="A67" s="17" t="s">
        <v>12</v>
      </c>
      <c r="B67">
        <f>SUM(B62:B66)</f>
        <v>6.4289909716075124</v>
      </c>
      <c r="C67">
        <f t="shared" ref="C67:D67" si="27">SUM(C62:C66)</f>
        <v>7.2980989623485373</v>
      </c>
      <c r="D67">
        <f t="shared" si="27"/>
        <v>8.1990620595686519</v>
      </c>
      <c r="I67" s="17" t="s">
        <v>12</v>
      </c>
      <c r="M67">
        <f>SUM(M62:M66)</f>
        <v>1.0198131338126211</v>
      </c>
      <c r="N67">
        <f>SUM(N62:N66)</f>
        <v>0.99999999999999989</v>
      </c>
    </row>
    <row r="68" spans="1:16" x14ac:dyDescent="0.3">
      <c r="A68" s="10" t="s">
        <v>24</v>
      </c>
      <c r="B68" s="18">
        <f>IF($C$57=1,1/B67,0)</f>
        <v>0.15554540431248401</v>
      </c>
      <c r="C68" s="18">
        <f t="shared" ref="C68:D68" si="28">IF($C$57=1,1/C67,0)</f>
        <v>0.13702198410285721</v>
      </c>
      <c r="D68" s="18">
        <f t="shared" si="28"/>
        <v>0.12196517025175553</v>
      </c>
    </row>
    <row r="69" spans="1:16" x14ac:dyDescent="0.3">
      <c r="A69" s="17" t="s">
        <v>25</v>
      </c>
      <c r="B69">
        <f>MIN(B68:D68)</f>
        <v>0.12196517025175553</v>
      </c>
      <c r="C69">
        <f>MEDIAN(B68:D68)</f>
        <v>0.13702198410285721</v>
      </c>
      <c r="D69">
        <f>MAX(B68:D68)</f>
        <v>0.15554540431248401</v>
      </c>
    </row>
    <row r="74" spans="1:16" x14ac:dyDescent="0.3">
      <c r="A74" t="s">
        <v>28</v>
      </c>
      <c r="B74" s="22" t="s">
        <v>5</v>
      </c>
      <c r="C74" s="22"/>
      <c r="D74" s="22"/>
      <c r="E74" s="21" t="s">
        <v>6</v>
      </c>
      <c r="F74" s="21"/>
      <c r="G74" s="21"/>
      <c r="H74" s="22" t="s">
        <v>7</v>
      </c>
      <c r="I74" s="22"/>
      <c r="J74" s="22"/>
      <c r="K74" s="21" t="s">
        <v>8</v>
      </c>
      <c r="L74" s="21"/>
      <c r="M74" s="21"/>
      <c r="N74" s="22" t="s">
        <v>27</v>
      </c>
      <c r="O74" s="22"/>
      <c r="P74" s="22"/>
    </row>
    <row r="75" spans="1:16" x14ac:dyDescent="0.3">
      <c r="A75" s="10" t="s">
        <v>5</v>
      </c>
      <c r="B75" s="11">
        <v>1</v>
      </c>
      <c r="C75" s="12">
        <v>1</v>
      </c>
      <c r="D75" s="13">
        <v>1</v>
      </c>
      <c r="E75" s="14">
        <v>1</v>
      </c>
      <c r="F75" s="15">
        <v>1</v>
      </c>
      <c r="G75" s="16">
        <v>1</v>
      </c>
      <c r="H75" s="11">
        <v>4</v>
      </c>
      <c r="I75" s="12">
        <v>5</v>
      </c>
      <c r="J75" s="13">
        <v>6</v>
      </c>
      <c r="K75" s="14">
        <v>6</v>
      </c>
      <c r="L75" s="15">
        <v>7</v>
      </c>
      <c r="M75" s="16">
        <v>8</v>
      </c>
      <c r="N75" s="11">
        <v>4</v>
      </c>
      <c r="O75" s="12">
        <v>5</v>
      </c>
      <c r="P75" s="13">
        <v>6</v>
      </c>
    </row>
    <row r="76" spans="1:16" x14ac:dyDescent="0.3">
      <c r="A76" s="17" t="s">
        <v>6</v>
      </c>
      <c r="B76" s="3"/>
      <c r="C76" s="3"/>
      <c r="D76" s="3"/>
      <c r="E76" s="14">
        <v>1</v>
      </c>
      <c r="F76" s="15">
        <v>1</v>
      </c>
      <c r="G76" s="16">
        <v>1</v>
      </c>
      <c r="H76" s="11">
        <v>4</v>
      </c>
      <c r="I76" s="12">
        <v>5</v>
      </c>
      <c r="J76" s="13">
        <v>6</v>
      </c>
      <c r="K76" s="14">
        <v>6</v>
      </c>
      <c r="L76" s="15">
        <v>7</v>
      </c>
      <c r="M76" s="16">
        <v>8</v>
      </c>
      <c r="N76" s="11">
        <v>6</v>
      </c>
      <c r="O76" s="12">
        <v>7</v>
      </c>
      <c r="P76" s="13">
        <v>8</v>
      </c>
    </row>
    <row r="77" spans="1:16" x14ac:dyDescent="0.3">
      <c r="A77" s="10" t="s">
        <v>7</v>
      </c>
      <c r="B77" s="3"/>
      <c r="C77" s="3"/>
      <c r="D77" s="3"/>
      <c r="E77" s="3"/>
      <c r="F77" s="3"/>
      <c r="G77" s="3"/>
      <c r="H77" s="11">
        <v>1</v>
      </c>
      <c r="I77" s="12">
        <v>1</v>
      </c>
      <c r="J77" s="13">
        <v>1</v>
      </c>
      <c r="K77" s="14">
        <f>1/4</f>
        <v>0.25</v>
      </c>
      <c r="L77" s="15">
        <f>1/3</f>
        <v>0.33333333333333331</v>
      </c>
      <c r="M77" s="16">
        <f>1/2</f>
        <v>0.5</v>
      </c>
      <c r="N77" s="11">
        <v>2</v>
      </c>
      <c r="O77" s="12">
        <v>3</v>
      </c>
      <c r="P77" s="13">
        <v>4</v>
      </c>
    </row>
    <row r="78" spans="1:16" x14ac:dyDescent="0.3">
      <c r="A78" s="17" t="s">
        <v>8</v>
      </c>
      <c r="B78" s="3"/>
      <c r="C78" s="3"/>
      <c r="D78" s="3"/>
      <c r="E78" s="3"/>
      <c r="F78" s="3"/>
      <c r="G78" s="3"/>
      <c r="H78" s="3"/>
      <c r="I78" s="3"/>
      <c r="J78" s="3"/>
      <c r="K78" s="14">
        <v>1</v>
      </c>
      <c r="L78" s="15">
        <v>1</v>
      </c>
      <c r="M78" s="16">
        <v>1</v>
      </c>
      <c r="N78" s="11">
        <f>1/6</f>
        <v>0.16666666666666666</v>
      </c>
      <c r="O78" s="12">
        <f>1/5</f>
        <v>0.2</v>
      </c>
      <c r="P78" s="13">
        <f>1/4</f>
        <v>0.25</v>
      </c>
    </row>
    <row r="79" spans="1:16" x14ac:dyDescent="0.3">
      <c r="A79" s="10" t="s">
        <v>27</v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11">
        <v>1</v>
      </c>
      <c r="O79" s="12">
        <v>1</v>
      </c>
      <c r="P79" s="13">
        <v>1</v>
      </c>
    </row>
    <row r="81" spans="1:16" x14ac:dyDescent="0.3">
      <c r="I81">
        <v>1</v>
      </c>
    </row>
    <row r="85" spans="1:16" x14ac:dyDescent="0.3">
      <c r="B85" s="22" t="s">
        <v>5</v>
      </c>
      <c r="C85" s="22"/>
      <c r="D85" s="22"/>
      <c r="E85" s="21" t="s">
        <v>6</v>
      </c>
      <c r="F85" s="21"/>
      <c r="G85" s="21"/>
      <c r="H85" s="22" t="s">
        <v>7</v>
      </c>
      <c r="I85" s="22"/>
      <c r="J85" s="22"/>
      <c r="K85" s="21" t="s">
        <v>8</v>
      </c>
      <c r="L85" s="21"/>
      <c r="M85" s="21"/>
      <c r="N85" s="22" t="s">
        <v>27</v>
      </c>
      <c r="O85" s="22"/>
      <c r="P85" s="22"/>
    </row>
    <row r="86" spans="1:16" x14ac:dyDescent="0.3">
      <c r="A86" s="10" t="s">
        <v>5</v>
      </c>
      <c r="B86" s="11">
        <f t="shared" ref="B86:P86" si="29">IF($I$81=1,B75,0)</f>
        <v>1</v>
      </c>
      <c r="C86" s="11">
        <f t="shared" si="29"/>
        <v>1</v>
      </c>
      <c r="D86" s="11">
        <f t="shared" si="29"/>
        <v>1</v>
      </c>
      <c r="E86" s="14">
        <f t="shared" si="29"/>
        <v>1</v>
      </c>
      <c r="F86" s="15">
        <f t="shared" si="29"/>
        <v>1</v>
      </c>
      <c r="G86" s="16">
        <f t="shared" si="29"/>
        <v>1</v>
      </c>
      <c r="H86" s="11">
        <f t="shared" si="29"/>
        <v>4</v>
      </c>
      <c r="I86" s="11">
        <f t="shared" si="29"/>
        <v>5</v>
      </c>
      <c r="J86" s="11">
        <f t="shared" si="29"/>
        <v>6</v>
      </c>
      <c r="K86" s="14">
        <f t="shared" si="29"/>
        <v>6</v>
      </c>
      <c r="L86" s="15">
        <f t="shared" si="29"/>
        <v>7</v>
      </c>
      <c r="M86" s="16">
        <f t="shared" si="29"/>
        <v>8</v>
      </c>
      <c r="N86" s="11">
        <f t="shared" si="29"/>
        <v>4</v>
      </c>
      <c r="O86" s="11">
        <f t="shared" si="29"/>
        <v>5</v>
      </c>
      <c r="P86" s="11">
        <f t="shared" si="29"/>
        <v>6</v>
      </c>
    </row>
    <row r="87" spans="1:16" x14ac:dyDescent="0.3">
      <c r="A87" s="17" t="s">
        <v>6</v>
      </c>
      <c r="B87" s="3">
        <f>IF($I$81=1,1/MAX(E86:G86),0)</f>
        <v>1</v>
      </c>
      <c r="C87" s="3">
        <f>IF($I$81=1,1/MEDIAN(E86:G86),0)</f>
        <v>1</v>
      </c>
      <c r="D87" s="3">
        <f>IF($I$81=1,1/MIN(E86:G86),0)</f>
        <v>1</v>
      </c>
      <c r="E87" s="14">
        <f t="shared" ref="E87:P87" si="30">IF($I$81=1,E76,0)</f>
        <v>1</v>
      </c>
      <c r="F87" s="15">
        <f t="shared" si="30"/>
        <v>1</v>
      </c>
      <c r="G87" s="16">
        <f t="shared" si="30"/>
        <v>1</v>
      </c>
      <c r="H87" s="11">
        <f t="shared" si="30"/>
        <v>4</v>
      </c>
      <c r="I87" s="11">
        <f t="shared" si="30"/>
        <v>5</v>
      </c>
      <c r="J87" s="11">
        <f t="shared" si="30"/>
        <v>6</v>
      </c>
      <c r="K87" s="14">
        <f t="shared" si="30"/>
        <v>6</v>
      </c>
      <c r="L87" s="15">
        <f t="shared" si="30"/>
        <v>7</v>
      </c>
      <c r="M87" s="16">
        <f t="shared" si="30"/>
        <v>8</v>
      </c>
      <c r="N87" s="11">
        <f t="shared" si="30"/>
        <v>6</v>
      </c>
      <c r="O87" s="11">
        <f t="shared" si="30"/>
        <v>7</v>
      </c>
      <c r="P87" s="11">
        <f t="shared" si="30"/>
        <v>8</v>
      </c>
    </row>
    <row r="88" spans="1:16" x14ac:dyDescent="0.3">
      <c r="A88" s="10" t="s">
        <v>7</v>
      </c>
      <c r="B88" s="3">
        <f>IF($I$81=1,1/MAX(H86:J86),0)</f>
        <v>0.16666666666666666</v>
      </c>
      <c r="C88" s="3">
        <f>IF($I$81=1,1/MEDIAN(H86:J86),0)</f>
        <v>0.2</v>
      </c>
      <c r="D88" s="3">
        <f>IF($I$81=1,1/MIN(H86:J86),0)</f>
        <v>0.25</v>
      </c>
      <c r="E88" s="3">
        <f>IF($I$81=1,1/MAX(H87:J87),0)</f>
        <v>0.16666666666666666</v>
      </c>
      <c r="F88" s="3">
        <f>IF($I$81=1,1/MEDIAN(H87:J87),0)</f>
        <v>0.2</v>
      </c>
      <c r="G88" s="3">
        <f>IF($I$81=1,1/MIN(H87:J87),0)</f>
        <v>0.25</v>
      </c>
      <c r="H88" s="11">
        <f t="shared" ref="H88:P88" si="31">IF($I$81=1,H77,0)</f>
        <v>1</v>
      </c>
      <c r="I88" s="11">
        <f t="shared" si="31"/>
        <v>1</v>
      </c>
      <c r="J88" s="11">
        <f t="shared" si="31"/>
        <v>1</v>
      </c>
      <c r="K88" s="14">
        <f t="shared" si="31"/>
        <v>0.25</v>
      </c>
      <c r="L88" s="15">
        <f t="shared" si="31"/>
        <v>0.33333333333333331</v>
      </c>
      <c r="M88" s="16">
        <f t="shared" si="31"/>
        <v>0.5</v>
      </c>
      <c r="N88" s="11">
        <f t="shared" si="31"/>
        <v>2</v>
      </c>
      <c r="O88" s="11">
        <f t="shared" si="31"/>
        <v>3</v>
      </c>
      <c r="P88" s="11">
        <f t="shared" si="31"/>
        <v>4</v>
      </c>
    </row>
    <row r="89" spans="1:16" x14ac:dyDescent="0.3">
      <c r="A89" s="17" t="s">
        <v>8</v>
      </c>
      <c r="B89" s="3">
        <f>IF($I$81=1,1/MAX(K86:M86),0)</f>
        <v>0.125</v>
      </c>
      <c r="C89" s="3">
        <f>IF($I$81=1,1/MEDIAN(K86:M86),0)</f>
        <v>0.14285714285714285</v>
      </c>
      <c r="D89" s="3">
        <f>IF($I$81=1,1/MIN(K86:M86),0)</f>
        <v>0.16666666666666666</v>
      </c>
      <c r="E89" s="3">
        <f>IF($I$81=1,1/MAX(K87:M87),0)</f>
        <v>0.125</v>
      </c>
      <c r="F89" s="3">
        <f>IF($I$81=1,1/MEDIAN(K87:M87),0)</f>
        <v>0.14285714285714285</v>
      </c>
      <c r="G89" s="3">
        <f>IF($I$81=1,1/MIN(K87:M87),0)</f>
        <v>0.16666666666666666</v>
      </c>
      <c r="H89" s="3">
        <f>IF($I$81=1,1/MAX(K88:M88),0)</f>
        <v>2</v>
      </c>
      <c r="I89" s="3">
        <f>IF($I$81=1,1/MEDIAN(K88:M88),0)</f>
        <v>3</v>
      </c>
      <c r="J89" s="3">
        <f>IF($I$81=1,1/MIN(K88:M88),0)</f>
        <v>4</v>
      </c>
      <c r="K89" s="14">
        <f t="shared" ref="K89:P89" si="32">IF($I$81=1,K78,0)</f>
        <v>1</v>
      </c>
      <c r="L89" s="15">
        <f t="shared" si="32"/>
        <v>1</v>
      </c>
      <c r="M89" s="16">
        <f t="shared" si="32"/>
        <v>1</v>
      </c>
      <c r="N89" s="11">
        <f t="shared" si="32"/>
        <v>0.16666666666666666</v>
      </c>
      <c r="O89" s="11">
        <f t="shared" si="32"/>
        <v>0.2</v>
      </c>
      <c r="P89" s="11">
        <f t="shared" si="32"/>
        <v>0.25</v>
      </c>
    </row>
    <row r="90" spans="1:16" x14ac:dyDescent="0.3">
      <c r="A90" s="10" t="s">
        <v>27</v>
      </c>
      <c r="B90" s="3">
        <f>IF($I$81=1,1/MAX(N86:P86),0)</f>
        <v>0.16666666666666666</v>
      </c>
      <c r="C90" s="3">
        <f>IF($I$81=1,1/MEDIAN(N86:P86),0)</f>
        <v>0.2</v>
      </c>
      <c r="D90" s="3">
        <f>IF($I$81=1,1/MIN(N86:P86),0)</f>
        <v>0.25</v>
      </c>
      <c r="E90" s="3">
        <f>IF($I$81=1,1/MAX(N87:P87),0)</f>
        <v>0.125</v>
      </c>
      <c r="F90" s="3">
        <f>IF($I$81=1,1/MEDIAN(N87:P87),0)</f>
        <v>0.14285714285714285</v>
      </c>
      <c r="G90" s="3">
        <f>IF($I$81=1,1/MIN(N87:P87),0)</f>
        <v>0.16666666666666666</v>
      </c>
      <c r="H90" s="3">
        <f>IF($I$81=1,1/MAX(N88:P88),0)</f>
        <v>0.25</v>
      </c>
      <c r="I90" s="3">
        <f>IF($I$81=1,1/MEDIAN(N88:P88),0)</f>
        <v>0.33333333333333331</v>
      </c>
      <c r="J90" s="3">
        <f>IF($I$81=1,1/MIN(N88:P88),0)</f>
        <v>0.5</v>
      </c>
      <c r="K90" s="3">
        <f>IF($I$81=1,1/MAX(N89:P89),0)</f>
        <v>4</v>
      </c>
      <c r="L90" s="3">
        <f>IF($I$81=1,1/MEDIAN(N89:P89),0)</f>
        <v>5</v>
      </c>
      <c r="M90" s="3">
        <f>IF($I$81=1,1/MIN(N89:P89),0)</f>
        <v>6</v>
      </c>
      <c r="N90" s="11">
        <f>IF($I$81=1,N79,0)</f>
        <v>1</v>
      </c>
      <c r="O90" s="11">
        <f>IF($I$81=1,O79,0)</f>
        <v>1</v>
      </c>
      <c r="P90" s="11">
        <f>IF($I$81=1,P79,0)</f>
        <v>1</v>
      </c>
    </row>
    <row r="92" spans="1:16" x14ac:dyDescent="0.3">
      <c r="C92">
        <v>1</v>
      </c>
    </row>
    <row r="96" spans="1:16" x14ac:dyDescent="0.3">
      <c r="B96" s="19" t="s">
        <v>21</v>
      </c>
      <c r="C96" s="19"/>
      <c r="D96" s="19"/>
      <c r="J96" s="20" t="s">
        <v>22</v>
      </c>
      <c r="K96" s="20"/>
      <c r="L96" s="20"/>
      <c r="M96" t="s">
        <v>23</v>
      </c>
      <c r="N96" t="s">
        <v>26</v>
      </c>
    </row>
    <row r="97" spans="1:16" x14ac:dyDescent="0.3">
      <c r="A97" s="10" t="s">
        <v>5</v>
      </c>
      <c r="B97" s="18">
        <f>IF($C$92=1,GEOMEAN(B86,E86,H86,K86,N86),0)</f>
        <v>2.4914618792310348</v>
      </c>
      <c r="C97" s="18">
        <f t="shared" ref="C97:D97" si="33">IF($C$92=1,GEOMEAN(C86,F86,I86,L86,O86),0)</f>
        <v>2.8093613917206537</v>
      </c>
      <c r="D97" s="18">
        <f t="shared" si="33"/>
        <v>3.1036911478307196</v>
      </c>
      <c r="I97" s="10" t="s">
        <v>5</v>
      </c>
      <c r="J97" s="18">
        <f>IF($F$99=1,B97*B$31,0)</f>
        <v>0.30387157227617195</v>
      </c>
      <c r="K97" s="18">
        <f t="shared" ref="K97:L97" si="34">IF($F$99=1,C97*C$31,0)</f>
        <v>0.38494427195552822</v>
      </c>
      <c r="L97" s="18">
        <f t="shared" si="34"/>
        <v>0.48276489445040688</v>
      </c>
      <c r="M97">
        <f>AVERAGE(J97:L97)</f>
        <v>0.39052691289403568</v>
      </c>
      <c r="N97">
        <f>IF(AND($F$99=1,$C$92=1),M97/$M$29,0)</f>
        <v>0.38293967781531879</v>
      </c>
    </row>
    <row r="98" spans="1:16" x14ac:dyDescent="0.3">
      <c r="A98" s="17" t="s">
        <v>6</v>
      </c>
      <c r="B98" s="18">
        <f t="shared" ref="B98:B101" si="35">IF($C$92=1,GEOMEAN(B87,E87,H87,K87,N87),0)</f>
        <v>2.7019200770412271</v>
      </c>
      <c r="C98" s="18">
        <f t="shared" ref="C98:C101" si="36">IF($C$92=1,GEOMEAN(C87,F87,I87,L87,O87),0)</f>
        <v>3.0049220937458307</v>
      </c>
      <c r="D98" s="18">
        <f t="shared" ref="D98:D101" si="37">IF($C$92=1,GEOMEAN(D87,G87,J87,M87,P87),0)</f>
        <v>3.2875036590344515</v>
      </c>
      <c r="I98" s="17" t="s">
        <v>6</v>
      </c>
      <c r="J98" s="18">
        <f t="shared" ref="J98:J101" si="38">IF($F$99=1,B98*B$31,0)</f>
        <v>0.32954014220296968</v>
      </c>
      <c r="K98" s="18">
        <f t="shared" ref="K98:K101" si="39">IF($F$99=1,C98*C$31,0)</f>
        <v>0.41174038735956564</v>
      </c>
      <c r="L98" s="18">
        <f t="shared" ref="L98:L101" si="40">IF($F$99=1,D98*D$31,0)</f>
        <v>0.51135608582328429</v>
      </c>
      <c r="M98">
        <f t="shared" ref="M98:M101" si="41">AVERAGE(J98:L98)</f>
        <v>0.41754553846193981</v>
      </c>
      <c r="N98">
        <f t="shared" ref="N98:N101" si="42">IF(AND($F$99=1,$C$92=1),M98/$M$29,0)</f>
        <v>0.40943338011437985</v>
      </c>
    </row>
    <row r="99" spans="1:16" x14ac:dyDescent="0.3">
      <c r="A99" s="10" t="s">
        <v>7</v>
      </c>
      <c r="B99" s="18">
        <f t="shared" si="35"/>
        <v>0.42514150020859692</v>
      </c>
      <c r="C99" s="18">
        <f t="shared" si="36"/>
        <v>0.52530556088075342</v>
      </c>
      <c r="D99" s="18">
        <f t="shared" si="37"/>
        <v>0.6597539553864471</v>
      </c>
      <c r="F99">
        <v>1</v>
      </c>
      <c r="I99" s="10" t="s">
        <v>7</v>
      </c>
      <c r="J99" s="18">
        <f t="shared" si="38"/>
        <v>5.1852455454028286E-2</v>
      </c>
      <c r="K99" s="18">
        <f t="shared" si="39"/>
        <v>7.1978410212145086E-2</v>
      </c>
      <c r="L99" s="18">
        <f t="shared" si="40"/>
        <v>0.10262169573734545</v>
      </c>
      <c r="M99">
        <f t="shared" si="41"/>
        <v>7.5484187134506275E-2</v>
      </c>
      <c r="N99">
        <f t="shared" si="42"/>
        <v>7.4017665228829688E-2</v>
      </c>
    </row>
    <row r="100" spans="1:16" x14ac:dyDescent="0.3">
      <c r="A100" s="17" t="s">
        <v>8</v>
      </c>
      <c r="B100" s="18">
        <f t="shared" si="35"/>
        <v>0.34941355938578961</v>
      </c>
      <c r="C100" s="18">
        <f t="shared" si="36"/>
        <v>0.41456347311242026</v>
      </c>
      <c r="D100" s="18">
        <f t="shared" si="37"/>
        <v>0.48835934193058694</v>
      </c>
      <c r="I100" s="17" t="s">
        <v>8</v>
      </c>
      <c r="J100" s="18">
        <f t="shared" si="38"/>
        <v>4.2616284258759719E-2</v>
      </c>
      <c r="K100" s="18">
        <f t="shared" si="39"/>
        <v>5.6804309622435323E-2</v>
      </c>
      <c r="L100" s="18">
        <f t="shared" si="40"/>
        <v>7.5962051290371771E-2</v>
      </c>
      <c r="M100">
        <f t="shared" si="41"/>
        <v>5.8460881723855607E-2</v>
      </c>
      <c r="N100">
        <f t="shared" si="42"/>
        <v>5.732509200513701E-2</v>
      </c>
    </row>
    <row r="101" spans="1:16" x14ac:dyDescent="0.3">
      <c r="A101" s="10" t="s">
        <v>27</v>
      </c>
      <c r="B101" s="18">
        <f t="shared" si="35"/>
        <v>0.46105395574086389</v>
      </c>
      <c r="C101" s="18">
        <f t="shared" si="36"/>
        <v>0.5439464428888785</v>
      </c>
      <c r="D101" s="18">
        <f t="shared" si="37"/>
        <v>0.6597539553864471</v>
      </c>
      <c r="I101" s="10" t="s">
        <v>27</v>
      </c>
      <c r="J101" s="18">
        <f t="shared" si="38"/>
        <v>5.6232524207179821E-2</v>
      </c>
      <c r="K101" s="18">
        <f t="shared" si="39"/>
        <v>7.4532620850325637E-2</v>
      </c>
      <c r="L101" s="18">
        <f t="shared" si="40"/>
        <v>0.10262169573734545</v>
      </c>
      <c r="M101">
        <f t="shared" si="41"/>
        <v>7.7795613598283644E-2</v>
      </c>
      <c r="N101">
        <f t="shared" si="42"/>
        <v>7.6284184836334631E-2</v>
      </c>
    </row>
    <row r="102" spans="1:16" x14ac:dyDescent="0.3">
      <c r="A102" s="17" t="s">
        <v>12</v>
      </c>
      <c r="B102">
        <f>SUM(B97:B101)</f>
        <v>6.4289909716075124</v>
      </c>
      <c r="C102">
        <f t="shared" ref="C102:D102" si="43">SUM(C97:C101)</f>
        <v>7.2980989623485373</v>
      </c>
      <c r="D102">
        <f t="shared" si="43"/>
        <v>8.1990620595686519</v>
      </c>
      <c r="I102" s="17" t="s">
        <v>12</v>
      </c>
      <c r="M102">
        <f>SUM(M97:M101)</f>
        <v>1.0198131338126211</v>
      </c>
      <c r="N102">
        <f>SUM(N97:N101)</f>
        <v>0.99999999999999989</v>
      </c>
    </row>
    <row r="103" spans="1:16" x14ac:dyDescent="0.3">
      <c r="A103" s="10" t="s">
        <v>24</v>
      </c>
      <c r="B103" s="18">
        <f>IF($C$92=1,1/B102,0)</f>
        <v>0.15554540431248401</v>
      </c>
      <c r="C103" s="18">
        <f t="shared" ref="C103:D103" si="44">IF($C$92=1,1/C102,0)</f>
        <v>0.13702198410285721</v>
      </c>
      <c r="D103" s="18">
        <f t="shared" si="44"/>
        <v>0.12196517025175553</v>
      </c>
    </row>
    <row r="104" spans="1:16" x14ac:dyDescent="0.3">
      <c r="A104" s="17" t="s">
        <v>25</v>
      </c>
      <c r="B104">
        <f>MIN(B103:D103)</f>
        <v>0.12196517025175553</v>
      </c>
      <c r="C104">
        <f>MEDIAN(B103:D103)</f>
        <v>0.13702198410285721</v>
      </c>
      <c r="D104">
        <f>MAX(B103:D103)</f>
        <v>0.15554540431248401</v>
      </c>
    </row>
    <row r="108" spans="1:16" x14ac:dyDescent="0.3">
      <c r="A108" t="s">
        <v>29</v>
      </c>
      <c r="B108" s="22" t="s">
        <v>5</v>
      </c>
      <c r="C108" s="22"/>
      <c r="D108" s="22"/>
      <c r="E108" s="21" t="s">
        <v>6</v>
      </c>
      <c r="F108" s="21"/>
      <c r="G108" s="21"/>
      <c r="H108" s="22" t="s">
        <v>7</v>
      </c>
      <c r="I108" s="22"/>
      <c r="J108" s="22"/>
      <c r="K108" s="21" t="s">
        <v>8</v>
      </c>
      <c r="L108" s="21"/>
      <c r="M108" s="21"/>
      <c r="N108" s="22" t="s">
        <v>27</v>
      </c>
      <c r="O108" s="22"/>
      <c r="P108" s="22"/>
    </row>
    <row r="109" spans="1:16" x14ac:dyDescent="0.3">
      <c r="A109" s="10" t="s">
        <v>5</v>
      </c>
      <c r="B109" s="11">
        <v>1</v>
      </c>
      <c r="C109" s="12">
        <v>1</v>
      </c>
      <c r="D109" s="13">
        <v>1</v>
      </c>
      <c r="E109" s="14">
        <v>1</v>
      </c>
      <c r="F109" s="15">
        <v>1</v>
      </c>
      <c r="G109" s="16">
        <v>1</v>
      </c>
      <c r="H109" s="11">
        <v>4</v>
      </c>
      <c r="I109" s="12">
        <v>5</v>
      </c>
      <c r="J109" s="13">
        <v>6</v>
      </c>
      <c r="K109" s="14">
        <v>6</v>
      </c>
      <c r="L109" s="15">
        <v>7</v>
      </c>
      <c r="M109" s="16">
        <v>8</v>
      </c>
      <c r="N109" s="11">
        <v>4</v>
      </c>
      <c r="O109" s="12">
        <v>5</v>
      </c>
      <c r="P109" s="13">
        <v>6</v>
      </c>
    </row>
    <row r="110" spans="1:16" x14ac:dyDescent="0.3">
      <c r="A110" s="17" t="s">
        <v>6</v>
      </c>
      <c r="B110" s="3"/>
      <c r="C110" s="3"/>
      <c r="D110" s="3"/>
      <c r="E110" s="14">
        <v>1</v>
      </c>
      <c r="F110" s="15">
        <v>1</v>
      </c>
      <c r="G110" s="16">
        <v>1</v>
      </c>
      <c r="H110" s="11">
        <v>4</v>
      </c>
      <c r="I110" s="12">
        <v>5</v>
      </c>
      <c r="J110" s="13">
        <v>6</v>
      </c>
      <c r="K110" s="14">
        <v>6</v>
      </c>
      <c r="L110" s="15">
        <v>7</v>
      </c>
      <c r="M110" s="16">
        <v>8</v>
      </c>
      <c r="N110" s="11">
        <v>6</v>
      </c>
      <c r="O110" s="12">
        <v>7</v>
      </c>
      <c r="P110" s="13">
        <v>8</v>
      </c>
    </row>
    <row r="111" spans="1:16" x14ac:dyDescent="0.3">
      <c r="A111" s="10" t="s">
        <v>7</v>
      </c>
      <c r="B111" s="3"/>
      <c r="C111" s="3"/>
      <c r="D111" s="3"/>
      <c r="E111" s="3"/>
      <c r="F111" s="3"/>
      <c r="G111" s="3"/>
      <c r="H111" s="11">
        <v>1</v>
      </c>
      <c r="I111" s="12">
        <v>1</v>
      </c>
      <c r="J111" s="13">
        <v>1</v>
      </c>
      <c r="K111" s="14">
        <f>1/4</f>
        <v>0.25</v>
      </c>
      <c r="L111" s="15">
        <f>1/3</f>
        <v>0.33333333333333331</v>
      </c>
      <c r="M111" s="16">
        <f>1/2</f>
        <v>0.5</v>
      </c>
      <c r="N111" s="11">
        <v>2</v>
      </c>
      <c r="O111" s="12">
        <v>3</v>
      </c>
      <c r="P111" s="13">
        <v>4</v>
      </c>
    </row>
    <row r="112" spans="1:16" x14ac:dyDescent="0.3">
      <c r="A112" s="17" t="s">
        <v>8</v>
      </c>
      <c r="B112" s="3"/>
      <c r="C112" s="3"/>
      <c r="D112" s="3"/>
      <c r="E112" s="3"/>
      <c r="F112" s="3"/>
      <c r="G112" s="3"/>
      <c r="H112" s="3"/>
      <c r="I112" s="3"/>
      <c r="J112" s="3"/>
      <c r="K112" s="14">
        <v>1</v>
      </c>
      <c r="L112" s="15">
        <v>1</v>
      </c>
      <c r="M112" s="16">
        <v>1</v>
      </c>
      <c r="N112" s="11">
        <f>1/6</f>
        <v>0.16666666666666666</v>
      </c>
      <c r="O112" s="12">
        <f>1/5</f>
        <v>0.2</v>
      </c>
      <c r="P112" s="13">
        <f>1/4</f>
        <v>0.25</v>
      </c>
    </row>
    <row r="113" spans="1:16" x14ac:dyDescent="0.3">
      <c r="A113" s="10" t="s">
        <v>27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11">
        <v>1</v>
      </c>
      <c r="O113" s="12">
        <v>1</v>
      </c>
      <c r="P113" s="13">
        <v>1</v>
      </c>
    </row>
    <row r="115" spans="1:16" x14ac:dyDescent="0.3">
      <c r="I115">
        <v>1</v>
      </c>
    </row>
    <row r="119" spans="1:16" x14ac:dyDescent="0.3">
      <c r="B119" s="22" t="s">
        <v>5</v>
      </c>
      <c r="C119" s="22"/>
      <c r="D119" s="22"/>
      <c r="E119" s="21" t="s">
        <v>6</v>
      </c>
      <c r="F119" s="21"/>
      <c r="G119" s="21"/>
      <c r="H119" s="22" t="s">
        <v>7</v>
      </c>
      <c r="I119" s="22"/>
      <c r="J119" s="22"/>
      <c r="K119" s="21" t="s">
        <v>8</v>
      </c>
      <c r="L119" s="21"/>
      <c r="M119" s="21"/>
      <c r="N119" s="22" t="s">
        <v>27</v>
      </c>
      <c r="O119" s="22"/>
      <c r="P119" s="22"/>
    </row>
    <row r="120" spans="1:16" x14ac:dyDescent="0.3">
      <c r="A120" s="10" t="s">
        <v>5</v>
      </c>
      <c r="B120" s="11">
        <f t="shared" ref="B120:P120" si="45">IF($I$115=1,B109,0)</f>
        <v>1</v>
      </c>
      <c r="C120" s="11">
        <f t="shared" si="45"/>
        <v>1</v>
      </c>
      <c r="D120" s="11">
        <f t="shared" si="45"/>
        <v>1</v>
      </c>
      <c r="E120" s="14">
        <f t="shared" si="45"/>
        <v>1</v>
      </c>
      <c r="F120" s="15">
        <f t="shared" si="45"/>
        <v>1</v>
      </c>
      <c r="G120" s="16">
        <f t="shared" si="45"/>
        <v>1</v>
      </c>
      <c r="H120" s="11">
        <f t="shared" si="45"/>
        <v>4</v>
      </c>
      <c r="I120" s="11">
        <f t="shared" si="45"/>
        <v>5</v>
      </c>
      <c r="J120" s="11">
        <f t="shared" si="45"/>
        <v>6</v>
      </c>
      <c r="K120" s="14">
        <f t="shared" si="45"/>
        <v>6</v>
      </c>
      <c r="L120" s="15">
        <f t="shared" si="45"/>
        <v>7</v>
      </c>
      <c r="M120" s="16">
        <f t="shared" si="45"/>
        <v>8</v>
      </c>
      <c r="N120" s="11">
        <f t="shared" si="45"/>
        <v>4</v>
      </c>
      <c r="O120" s="11">
        <f t="shared" si="45"/>
        <v>5</v>
      </c>
      <c r="P120" s="11">
        <f t="shared" si="45"/>
        <v>6</v>
      </c>
    </row>
    <row r="121" spans="1:16" x14ac:dyDescent="0.3">
      <c r="A121" s="17" t="s">
        <v>6</v>
      </c>
      <c r="B121" s="3">
        <f>IF($I$115=1,1/MAX(E120:G120),0)</f>
        <v>1</v>
      </c>
      <c r="C121" s="3">
        <f>IF($I$115=1,1/MEDIAN(E120:G120),0)</f>
        <v>1</v>
      </c>
      <c r="D121" s="3">
        <f>IF($I$115=1,1/MIN(E120:G120),0)</f>
        <v>1</v>
      </c>
      <c r="E121" s="14">
        <f t="shared" ref="E121:P121" si="46">IF($I$115=1,E110,0)</f>
        <v>1</v>
      </c>
      <c r="F121" s="15">
        <f t="shared" si="46"/>
        <v>1</v>
      </c>
      <c r="G121" s="16">
        <f t="shared" si="46"/>
        <v>1</v>
      </c>
      <c r="H121" s="11">
        <f t="shared" si="46"/>
        <v>4</v>
      </c>
      <c r="I121" s="11">
        <f t="shared" si="46"/>
        <v>5</v>
      </c>
      <c r="J121" s="11">
        <f t="shared" si="46"/>
        <v>6</v>
      </c>
      <c r="K121" s="14">
        <f t="shared" si="46"/>
        <v>6</v>
      </c>
      <c r="L121" s="15">
        <f t="shared" si="46"/>
        <v>7</v>
      </c>
      <c r="M121" s="16">
        <f t="shared" si="46"/>
        <v>8</v>
      </c>
      <c r="N121" s="11">
        <f t="shared" si="46"/>
        <v>6</v>
      </c>
      <c r="O121" s="11">
        <f t="shared" si="46"/>
        <v>7</v>
      </c>
      <c r="P121" s="11">
        <f t="shared" si="46"/>
        <v>8</v>
      </c>
    </row>
    <row r="122" spans="1:16" x14ac:dyDescent="0.3">
      <c r="A122" s="10" t="s">
        <v>7</v>
      </c>
      <c r="B122" s="3">
        <f>IF($I$115=1,1/MAX(H120:J120),0)</f>
        <v>0.16666666666666666</v>
      </c>
      <c r="C122" s="3">
        <f>IF($I$115=1,1/MEDIAN(H120:J120),0)</f>
        <v>0.2</v>
      </c>
      <c r="D122" s="3">
        <f>IF($I$115=1,1/MIN(H120:J120),0)</f>
        <v>0.25</v>
      </c>
      <c r="E122" s="3">
        <f>IF($I$115=1,1/MAX(H121:J121),0)</f>
        <v>0.16666666666666666</v>
      </c>
      <c r="F122" s="3">
        <f>IF($I$115=1,1/MEDIAN(H121:J121),0)</f>
        <v>0.2</v>
      </c>
      <c r="G122" s="3">
        <f>IF($I$115=1,1/MIN(H121:J121),0)</f>
        <v>0.25</v>
      </c>
      <c r="H122" s="11">
        <f t="shared" ref="H122:P122" si="47">IF($I$115=1,H111,0)</f>
        <v>1</v>
      </c>
      <c r="I122" s="11">
        <f t="shared" si="47"/>
        <v>1</v>
      </c>
      <c r="J122" s="11">
        <f t="shared" si="47"/>
        <v>1</v>
      </c>
      <c r="K122" s="14">
        <f t="shared" si="47"/>
        <v>0.25</v>
      </c>
      <c r="L122" s="15">
        <f t="shared" si="47"/>
        <v>0.33333333333333331</v>
      </c>
      <c r="M122" s="16">
        <f t="shared" si="47"/>
        <v>0.5</v>
      </c>
      <c r="N122" s="11">
        <f t="shared" si="47"/>
        <v>2</v>
      </c>
      <c r="O122" s="11">
        <f t="shared" si="47"/>
        <v>3</v>
      </c>
      <c r="P122" s="11">
        <f t="shared" si="47"/>
        <v>4</v>
      </c>
    </row>
    <row r="123" spans="1:16" x14ac:dyDescent="0.3">
      <c r="A123" s="17" t="s">
        <v>8</v>
      </c>
      <c r="B123" s="3">
        <f>IF($I$115=1,1/MAX(K120:M120),0)</f>
        <v>0.125</v>
      </c>
      <c r="C123" s="3">
        <f>IF($I$115=1,1/MEDIAN(K120:M120),0)</f>
        <v>0.14285714285714285</v>
      </c>
      <c r="D123" s="3">
        <f>IF($I$115=1,1/MIN(K120:M120),0)</f>
        <v>0.16666666666666666</v>
      </c>
      <c r="E123" s="3">
        <f>IF($I$115=1,1/MAX(K121:M121),0)</f>
        <v>0.125</v>
      </c>
      <c r="F123" s="3">
        <f>IF($I$115=1,1/MEDIAN(K121:M121),0)</f>
        <v>0.14285714285714285</v>
      </c>
      <c r="G123" s="3">
        <f>IF($I$115=1,1/MIN(K121:M121),0)</f>
        <v>0.16666666666666666</v>
      </c>
      <c r="H123" s="3">
        <f>IF($I$115=1,1/MAX(K122:M122),0)</f>
        <v>2</v>
      </c>
      <c r="I123" s="3">
        <f>IF($I$115=1,1/MEDIAN(K122:M122),0)</f>
        <v>3</v>
      </c>
      <c r="J123" s="3">
        <f>IF($I$115=1,1/MIN(K122:M122),0)</f>
        <v>4</v>
      </c>
      <c r="K123" s="14">
        <f t="shared" ref="K123:P123" si="48">IF($I$115=1,K112,0)</f>
        <v>1</v>
      </c>
      <c r="L123" s="15">
        <f t="shared" si="48"/>
        <v>1</v>
      </c>
      <c r="M123" s="16">
        <f t="shared" si="48"/>
        <v>1</v>
      </c>
      <c r="N123" s="11">
        <f t="shared" si="48"/>
        <v>0.16666666666666666</v>
      </c>
      <c r="O123" s="11">
        <f t="shared" si="48"/>
        <v>0.2</v>
      </c>
      <c r="P123" s="11">
        <f t="shared" si="48"/>
        <v>0.25</v>
      </c>
    </row>
    <row r="124" spans="1:16" x14ac:dyDescent="0.3">
      <c r="A124" s="10" t="s">
        <v>27</v>
      </c>
      <c r="B124" s="3">
        <f>IF($I$115=1,1/MAX(N120:P120),0)</f>
        <v>0.16666666666666666</v>
      </c>
      <c r="C124" s="3">
        <f>IF($I$115=1,1/MEDIAN(N120:P120),0)</f>
        <v>0.2</v>
      </c>
      <c r="D124" s="3">
        <f>IF($I$115=1,1/MIN(N120:P120),0)</f>
        <v>0.25</v>
      </c>
      <c r="E124" s="3">
        <f>IF($I$115=1,1/MAX(N121:P121),0)</f>
        <v>0.125</v>
      </c>
      <c r="F124" s="3">
        <f>IF($I$115=1,1/MEDIAN(N121:P121),0)</f>
        <v>0.14285714285714285</v>
      </c>
      <c r="G124" s="3">
        <f>IF($I$115=1,1/MIN(N121:P121),0)</f>
        <v>0.16666666666666666</v>
      </c>
      <c r="H124" s="3">
        <f>IF($I$115=1,1/MAX(N122:P122),0)</f>
        <v>0.25</v>
      </c>
      <c r="I124" s="3">
        <f>IF($I$115=1,1/MEDIAN(N122:P122),0)</f>
        <v>0.33333333333333331</v>
      </c>
      <c r="J124" s="3">
        <f>IF($I$115=1,1/MIN(N122:P122),0)</f>
        <v>0.5</v>
      </c>
      <c r="K124" s="3">
        <f>IF($I$115=1,1/MAX(N123:P123),0)</f>
        <v>4</v>
      </c>
      <c r="L124" s="3">
        <f>IF($I$115=1,1/MEDIAN(N123:P123),0)</f>
        <v>5</v>
      </c>
      <c r="M124" s="3">
        <f>IF($I$115=1,1/MIN(N123:P123),0)</f>
        <v>6</v>
      </c>
      <c r="N124" s="11">
        <f>IF($I$115=1,N113,0)</f>
        <v>1</v>
      </c>
      <c r="O124" s="11">
        <f>IF($I$115=1,O113,0)</f>
        <v>1</v>
      </c>
      <c r="P124" s="11">
        <f>IF($I$115=1,P113,0)</f>
        <v>1</v>
      </c>
    </row>
    <row r="126" spans="1:16" x14ac:dyDescent="0.3">
      <c r="C126">
        <v>1</v>
      </c>
    </row>
    <row r="130" spans="1:16" x14ac:dyDescent="0.3">
      <c r="B130" s="19" t="s">
        <v>21</v>
      </c>
      <c r="C130" s="19"/>
      <c r="D130" s="19"/>
      <c r="J130" s="20" t="s">
        <v>22</v>
      </c>
      <c r="K130" s="20"/>
      <c r="L130" s="20"/>
      <c r="M130" t="s">
        <v>23</v>
      </c>
      <c r="N130" t="s">
        <v>26</v>
      </c>
    </row>
    <row r="131" spans="1:16" x14ac:dyDescent="0.3">
      <c r="A131" s="10" t="s">
        <v>5</v>
      </c>
      <c r="B131" s="18">
        <f>IF($C$126=1,GEOMEAN(B120,E120,H120,K120,N120),0)</f>
        <v>2.4914618792310348</v>
      </c>
      <c r="C131" s="18">
        <f t="shared" ref="C131:D131" si="49">IF($C$126=1,GEOMEAN(C120,F120,I120,L120,O120),0)</f>
        <v>2.8093613917206537</v>
      </c>
      <c r="D131" s="18">
        <f>IF($C$126=1,GEOMEAN(D120,G120,J120,M120,P120),0)</f>
        <v>3.1036911478307196</v>
      </c>
      <c r="I131" s="10" t="s">
        <v>16</v>
      </c>
      <c r="J131" s="18">
        <f>IF($F$133=1,B131*B$31,0)</f>
        <v>0.30387157227617195</v>
      </c>
      <c r="K131" s="18">
        <f t="shared" ref="K131:L131" si="50">IF($F$133=1,C131*C$31,0)</f>
        <v>0.38494427195552822</v>
      </c>
      <c r="L131" s="18">
        <f t="shared" si="50"/>
        <v>0.48276489445040688</v>
      </c>
      <c r="M131">
        <f>AVERAGE(J131:L131)</f>
        <v>0.39052691289403568</v>
      </c>
      <c r="N131">
        <f>IF(AND($F$133=1,$C$126=1),M131/$M$29,0)</f>
        <v>0.38293967781531879</v>
      </c>
    </row>
    <row r="132" spans="1:16" x14ac:dyDescent="0.3">
      <c r="A132" s="17" t="s">
        <v>6</v>
      </c>
      <c r="B132" s="18">
        <f t="shared" ref="B132:B135" si="51">IF($C$126=1,GEOMEAN(B121,E121,H121,K121,N121),0)</f>
        <v>2.7019200770412271</v>
      </c>
      <c r="C132" s="18">
        <f t="shared" ref="C132:C135" si="52">IF($C$126=1,GEOMEAN(C121,F121,I121,L121,O121),0)</f>
        <v>3.0049220937458307</v>
      </c>
      <c r="D132" s="18">
        <f t="shared" ref="D132:D135" si="53">IF($C$126=1,GEOMEAN(D121,G121,J121,M121,P121),0)</f>
        <v>3.2875036590344515</v>
      </c>
      <c r="I132" s="17" t="s">
        <v>17</v>
      </c>
      <c r="J132" s="18">
        <f t="shared" ref="J132:J135" si="54">IF($F$133=1,B132*B$31,0)</f>
        <v>0.32954014220296968</v>
      </c>
      <c r="K132" s="18">
        <f t="shared" ref="K132:K135" si="55">IF($F$133=1,C132*C$31,0)</f>
        <v>0.41174038735956564</v>
      </c>
      <c r="L132" s="18">
        <f t="shared" ref="L132:L135" si="56">IF($F$133=1,D132*D$31,0)</f>
        <v>0.51135608582328429</v>
      </c>
      <c r="M132">
        <f t="shared" ref="M132:M135" si="57">AVERAGE(J132:L132)</f>
        <v>0.41754553846193981</v>
      </c>
      <c r="N132">
        <f t="shared" ref="N132:N135" si="58">IF(AND($F$133=1,$C$126=1),M132/$M$29,0)</f>
        <v>0.40943338011437985</v>
      </c>
    </row>
    <row r="133" spans="1:16" x14ac:dyDescent="0.3">
      <c r="A133" s="10" t="s">
        <v>7</v>
      </c>
      <c r="B133" s="18">
        <f t="shared" si="51"/>
        <v>0.42514150020859692</v>
      </c>
      <c r="C133" s="18">
        <f t="shared" si="52"/>
        <v>0.52530556088075342</v>
      </c>
      <c r="D133" s="18">
        <f t="shared" si="53"/>
        <v>0.6597539553864471</v>
      </c>
      <c r="F133">
        <v>1</v>
      </c>
      <c r="I133" s="10" t="s">
        <v>18</v>
      </c>
      <c r="J133" s="18">
        <f t="shared" si="54"/>
        <v>5.1852455454028286E-2</v>
      </c>
      <c r="K133" s="18">
        <f t="shared" si="55"/>
        <v>7.1978410212145086E-2</v>
      </c>
      <c r="L133" s="18">
        <f t="shared" si="56"/>
        <v>0.10262169573734545</v>
      </c>
      <c r="M133">
        <f t="shared" si="57"/>
        <v>7.5484187134506275E-2</v>
      </c>
      <c r="N133">
        <f t="shared" si="58"/>
        <v>7.4017665228829688E-2</v>
      </c>
    </row>
    <row r="134" spans="1:16" x14ac:dyDescent="0.3">
      <c r="A134" s="17" t="s">
        <v>8</v>
      </c>
      <c r="B134" s="18">
        <f t="shared" si="51"/>
        <v>0.34941355938578961</v>
      </c>
      <c r="C134" s="18">
        <f t="shared" si="52"/>
        <v>0.41456347311242026</v>
      </c>
      <c r="D134" s="18">
        <f t="shared" si="53"/>
        <v>0.48835934193058694</v>
      </c>
      <c r="I134" s="17" t="s">
        <v>19</v>
      </c>
      <c r="J134" s="18">
        <f t="shared" si="54"/>
        <v>4.2616284258759719E-2</v>
      </c>
      <c r="K134" s="18">
        <f t="shared" si="55"/>
        <v>5.6804309622435323E-2</v>
      </c>
      <c r="L134" s="18">
        <f t="shared" si="56"/>
        <v>7.5962051290371771E-2</v>
      </c>
      <c r="M134">
        <f t="shared" si="57"/>
        <v>5.8460881723855607E-2</v>
      </c>
      <c r="N134">
        <f t="shared" si="58"/>
        <v>5.732509200513701E-2</v>
      </c>
    </row>
    <row r="135" spans="1:16" x14ac:dyDescent="0.3">
      <c r="A135" s="10" t="s">
        <v>27</v>
      </c>
      <c r="B135" s="18">
        <f t="shared" si="51"/>
        <v>0.46105395574086389</v>
      </c>
      <c r="C135" s="18">
        <f t="shared" si="52"/>
        <v>0.5439464428888785</v>
      </c>
      <c r="D135" s="18">
        <f t="shared" si="53"/>
        <v>0.6597539553864471</v>
      </c>
      <c r="I135" s="10" t="s">
        <v>20</v>
      </c>
      <c r="J135" s="18">
        <f t="shared" si="54"/>
        <v>5.6232524207179821E-2</v>
      </c>
      <c r="K135" s="18">
        <f t="shared" si="55"/>
        <v>7.4532620850325637E-2</v>
      </c>
      <c r="L135" s="18">
        <f t="shared" si="56"/>
        <v>0.10262169573734545</v>
      </c>
      <c r="M135">
        <f t="shared" si="57"/>
        <v>7.7795613598283644E-2</v>
      </c>
      <c r="N135">
        <f t="shared" si="58"/>
        <v>7.6284184836334631E-2</v>
      </c>
    </row>
    <row r="136" spans="1:16" x14ac:dyDescent="0.3">
      <c r="A136" s="17" t="s">
        <v>12</v>
      </c>
      <c r="B136">
        <f>SUM(B131:B135)</f>
        <v>6.4289909716075124</v>
      </c>
      <c r="C136">
        <f t="shared" ref="C136:D136" si="59">SUM(C131:C135)</f>
        <v>7.2980989623485373</v>
      </c>
      <c r="D136">
        <f t="shared" si="59"/>
        <v>8.1990620595686519</v>
      </c>
      <c r="I136" s="17" t="s">
        <v>12</v>
      </c>
      <c r="M136">
        <f>SUM(M131:M135)</f>
        <v>1.0198131338126211</v>
      </c>
      <c r="N136">
        <f>SUM(N131:N135)</f>
        <v>0.99999999999999989</v>
      </c>
    </row>
    <row r="137" spans="1:16" x14ac:dyDescent="0.3">
      <c r="A137" s="10" t="s">
        <v>24</v>
      </c>
      <c r="B137" s="18">
        <f>IF($C$126=1,1/B136,0)</f>
        <v>0.15554540431248401</v>
      </c>
      <c r="C137" s="18">
        <f t="shared" ref="C137:D137" si="60">IF($C$126=1,1/C136,0)</f>
        <v>0.13702198410285721</v>
      </c>
      <c r="D137" s="18">
        <f t="shared" si="60"/>
        <v>0.12196517025175553</v>
      </c>
    </row>
    <row r="138" spans="1:16" x14ac:dyDescent="0.3">
      <c r="A138" s="17" t="s">
        <v>25</v>
      </c>
      <c r="B138">
        <f>MIN(B137:D137)</f>
        <v>0.12196517025175553</v>
      </c>
      <c r="C138">
        <f>MEDIAN(B137:D137)</f>
        <v>0.13702198410285721</v>
      </c>
      <c r="D138">
        <f>MAX(B137:D137)</f>
        <v>0.15554540431248401</v>
      </c>
    </row>
    <row r="142" spans="1:16" x14ac:dyDescent="0.3">
      <c r="A142" t="s">
        <v>11</v>
      </c>
      <c r="B142" s="22" t="s">
        <v>5</v>
      </c>
      <c r="C142" s="22"/>
      <c r="D142" s="22"/>
      <c r="E142" s="21" t="s">
        <v>6</v>
      </c>
      <c r="F142" s="21"/>
      <c r="G142" s="21"/>
      <c r="H142" s="22" t="s">
        <v>7</v>
      </c>
      <c r="I142" s="22"/>
      <c r="J142" s="22"/>
      <c r="K142" s="21" t="s">
        <v>8</v>
      </c>
      <c r="L142" s="21"/>
      <c r="M142" s="21"/>
      <c r="N142" s="22" t="s">
        <v>27</v>
      </c>
      <c r="O142" s="22"/>
      <c r="P142" s="22"/>
    </row>
    <row r="143" spans="1:16" x14ac:dyDescent="0.3">
      <c r="A143" s="10" t="s">
        <v>5</v>
      </c>
      <c r="B143" s="11">
        <v>1</v>
      </c>
      <c r="C143" s="12">
        <v>1</v>
      </c>
      <c r="D143" s="13">
        <v>1</v>
      </c>
      <c r="E143" s="14">
        <v>1</v>
      </c>
      <c r="F143" s="15">
        <v>1</v>
      </c>
      <c r="G143" s="16">
        <v>1</v>
      </c>
      <c r="H143" s="11">
        <v>4</v>
      </c>
      <c r="I143" s="12">
        <v>5</v>
      </c>
      <c r="J143" s="13">
        <v>6</v>
      </c>
      <c r="K143" s="14">
        <v>6</v>
      </c>
      <c r="L143" s="15">
        <v>7</v>
      </c>
      <c r="M143" s="16">
        <v>8</v>
      </c>
      <c r="N143" s="11">
        <v>4</v>
      </c>
      <c r="O143" s="12">
        <v>5</v>
      </c>
      <c r="P143" s="13">
        <v>6</v>
      </c>
    </row>
    <row r="144" spans="1:16" x14ac:dyDescent="0.3">
      <c r="A144" s="17" t="s">
        <v>6</v>
      </c>
      <c r="B144" s="3"/>
      <c r="C144" s="3"/>
      <c r="D144" s="3"/>
      <c r="E144" s="14">
        <v>1</v>
      </c>
      <c r="F144" s="15">
        <v>1</v>
      </c>
      <c r="G144" s="16">
        <v>1</v>
      </c>
      <c r="H144" s="11">
        <v>4</v>
      </c>
      <c r="I144" s="12">
        <v>5</v>
      </c>
      <c r="J144" s="13">
        <v>6</v>
      </c>
      <c r="K144" s="14">
        <v>6</v>
      </c>
      <c r="L144" s="15">
        <v>7</v>
      </c>
      <c r="M144" s="16">
        <v>8</v>
      </c>
      <c r="N144" s="11">
        <v>6</v>
      </c>
      <c r="O144" s="12">
        <v>7</v>
      </c>
      <c r="P144" s="13">
        <v>8</v>
      </c>
    </row>
    <row r="145" spans="1:16" x14ac:dyDescent="0.3">
      <c r="A145" s="10" t="s">
        <v>7</v>
      </c>
      <c r="B145" s="3"/>
      <c r="C145" s="3"/>
      <c r="D145" s="3"/>
      <c r="E145" s="3"/>
      <c r="F145" s="3"/>
      <c r="G145" s="3"/>
      <c r="H145" s="11">
        <v>1</v>
      </c>
      <c r="I145" s="12">
        <v>1</v>
      </c>
      <c r="J145" s="13">
        <v>1</v>
      </c>
      <c r="K145" s="14">
        <f>1/4</f>
        <v>0.25</v>
      </c>
      <c r="L145" s="15">
        <f>1/3</f>
        <v>0.33333333333333331</v>
      </c>
      <c r="M145" s="16">
        <f>1/2</f>
        <v>0.5</v>
      </c>
      <c r="N145" s="11">
        <v>2</v>
      </c>
      <c r="O145" s="12">
        <v>3</v>
      </c>
      <c r="P145" s="13">
        <v>4</v>
      </c>
    </row>
    <row r="146" spans="1:16" x14ac:dyDescent="0.3">
      <c r="A146" s="17" t="s">
        <v>8</v>
      </c>
      <c r="B146" s="3"/>
      <c r="C146" s="3"/>
      <c r="D146" s="3"/>
      <c r="E146" s="3"/>
      <c r="F146" s="3"/>
      <c r="G146" s="3"/>
      <c r="H146" s="3"/>
      <c r="I146" s="3"/>
      <c r="J146" s="3"/>
      <c r="K146" s="14">
        <v>1</v>
      </c>
      <c r="L146" s="15">
        <v>1</v>
      </c>
      <c r="M146" s="16">
        <v>1</v>
      </c>
      <c r="N146" s="11">
        <f>1/6</f>
        <v>0.16666666666666666</v>
      </c>
      <c r="O146" s="12">
        <f>1/5</f>
        <v>0.2</v>
      </c>
      <c r="P146" s="13">
        <f>1/4</f>
        <v>0.25</v>
      </c>
    </row>
    <row r="147" spans="1:16" x14ac:dyDescent="0.3">
      <c r="A147" s="10" t="s">
        <v>27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11">
        <v>1</v>
      </c>
      <c r="O147" s="12">
        <v>1</v>
      </c>
      <c r="P147" s="13">
        <v>1</v>
      </c>
    </row>
    <row r="149" spans="1:16" x14ac:dyDescent="0.3">
      <c r="I149">
        <v>1</v>
      </c>
    </row>
    <row r="153" spans="1:16" x14ac:dyDescent="0.3">
      <c r="B153" s="22" t="s">
        <v>5</v>
      </c>
      <c r="C153" s="22"/>
      <c r="D153" s="22"/>
      <c r="E153" s="21" t="s">
        <v>6</v>
      </c>
      <c r="F153" s="21"/>
      <c r="G153" s="21"/>
      <c r="H153" s="22" t="s">
        <v>7</v>
      </c>
      <c r="I153" s="22"/>
      <c r="J153" s="22"/>
      <c r="K153" s="21" t="s">
        <v>8</v>
      </c>
      <c r="L153" s="21"/>
      <c r="M153" s="21"/>
      <c r="N153" s="22" t="s">
        <v>27</v>
      </c>
      <c r="O153" s="22"/>
      <c r="P153" s="22"/>
    </row>
    <row r="154" spans="1:16" x14ac:dyDescent="0.3">
      <c r="A154" s="10" t="s">
        <v>5</v>
      </c>
      <c r="B154" s="11">
        <f t="shared" ref="B154:P154" si="61">IF($I$149=1,B143,0)</f>
        <v>1</v>
      </c>
      <c r="C154" s="11">
        <f t="shared" si="61"/>
        <v>1</v>
      </c>
      <c r="D154" s="11">
        <f t="shared" si="61"/>
        <v>1</v>
      </c>
      <c r="E154" s="14">
        <f t="shared" si="61"/>
        <v>1</v>
      </c>
      <c r="F154" s="15">
        <f t="shared" si="61"/>
        <v>1</v>
      </c>
      <c r="G154" s="16">
        <f t="shared" si="61"/>
        <v>1</v>
      </c>
      <c r="H154" s="11">
        <f t="shared" si="61"/>
        <v>4</v>
      </c>
      <c r="I154" s="11">
        <f t="shared" si="61"/>
        <v>5</v>
      </c>
      <c r="J154" s="11">
        <f t="shared" si="61"/>
        <v>6</v>
      </c>
      <c r="K154" s="14">
        <f t="shared" si="61"/>
        <v>6</v>
      </c>
      <c r="L154" s="15">
        <f t="shared" si="61"/>
        <v>7</v>
      </c>
      <c r="M154" s="16">
        <f t="shared" si="61"/>
        <v>8</v>
      </c>
      <c r="N154" s="11">
        <f t="shared" si="61"/>
        <v>4</v>
      </c>
      <c r="O154" s="11">
        <f t="shared" si="61"/>
        <v>5</v>
      </c>
      <c r="P154" s="11">
        <f t="shared" si="61"/>
        <v>6</v>
      </c>
    </row>
    <row r="155" spans="1:16" x14ac:dyDescent="0.3">
      <c r="A155" s="17" t="s">
        <v>6</v>
      </c>
      <c r="B155" s="3">
        <f>IF($I$149=1,1/MAX(E154:G154),0)</f>
        <v>1</v>
      </c>
      <c r="C155" s="3">
        <f>IF($I$149=1,1/MEDIAN(E154:G154),0)</f>
        <v>1</v>
      </c>
      <c r="D155" s="3">
        <f>IF($I$149=1,1/MIN(E154:G154),0)</f>
        <v>1</v>
      </c>
      <c r="E155" s="14">
        <f t="shared" ref="E155:P155" si="62">IF($I$149=1,E144,0)</f>
        <v>1</v>
      </c>
      <c r="F155" s="15">
        <f t="shared" si="62"/>
        <v>1</v>
      </c>
      <c r="G155" s="16">
        <f t="shared" si="62"/>
        <v>1</v>
      </c>
      <c r="H155" s="11">
        <f t="shared" si="62"/>
        <v>4</v>
      </c>
      <c r="I155" s="11">
        <f t="shared" si="62"/>
        <v>5</v>
      </c>
      <c r="J155" s="11">
        <f t="shared" si="62"/>
        <v>6</v>
      </c>
      <c r="K155" s="14">
        <f t="shared" si="62"/>
        <v>6</v>
      </c>
      <c r="L155" s="15">
        <f t="shared" si="62"/>
        <v>7</v>
      </c>
      <c r="M155" s="16">
        <f t="shared" si="62"/>
        <v>8</v>
      </c>
      <c r="N155" s="11">
        <f t="shared" si="62"/>
        <v>6</v>
      </c>
      <c r="O155" s="11">
        <f t="shared" si="62"/>
        <v>7</v>
      </c>
      <c r="P155" s="11">
        <f t="shared" si="62"/>
        <v>8</v>
      </c>
    </row>
    <row r="156" spans="1:16" x14ac:dyDescent="0.3">
      <c r="A156" s="10" t="s">
        <v>7</v>
      </c>
      <c r="B156" s="3">
        <f>IF($I$149=1,1/MAX(H154:J154),0)</f>
        <v>0.16666666666666666</v>
      </c>
      <c r="C156" s="3">
        <f>IF($I$149=1,1/MEDIAN(H154:J154),0)</f>
        <v>0.2</v>
      </c>
      <c r="D156" s="3">
        <f>IF($I$149=1,1/MIN(H154:J154),0)</f>
        <v>0.25</v>
      </c>
      <c r="E156" s="3">
        <f>IF($I$149=1,1/MAX(H155:J155),0)</f>
        <v>0.16666666666666666</v>
      </c>
      <c r="F156" s="3">
        <f>IF($I$149=1,1/MEDIAN(H155:J155),0)</f>
        <v>0.2</v>
      </c>
      <c r="G156" s="3">
        <f>IF($I$149=1,1/MIN(H155:J155),0)</f>
        <v>0.25</v>
      </c>
      <c r="H156" s="11">
        <f t="shared" ref="H156:P156" si="63">IF($I$149=1,H145,0)</f>
        <v>1</v>
      </c>
      <c r="I156" s="11">
        <f t="shared" si="63"/>
        <v>1</v>
      </c>
      <c r="J156" s="11">
        <f t="shared" si="63"/>
        <v>1</v>
      </c>
      <c r="K156" s="14">
        <f t="shared" si="63"/>
        <v>0.25</v>
      </c>
      <c r="L156" s="15">
        <f t="shared" si="63"/>
        <v>0.33333333333333331</v>
      </c>
      <c r="M156" s="16">
        <f t="shared" si="63"/>
        <v>0.5</v>
      </c>
      <c r="N156" s="11">
        <f t="shared" si="63"/>
        <v>2</v>
      </c>
      <c r="O156" s="11">
        <f t="shared" si="63"/>
        <v>3</v>
      </c>
      <c r="P156" s="11">
        <f t="shared" si="63"/>
        <v>4</v>
      </c>
    </row>
    <row r="157" spans="1:16" x14ac:dyDescent="0.3">
      <c r="A157" s="17" t="s">
        <v>8</v>
      </c>
      <c r="B157" s="3">
        <f>IF($I$149=1,1/MAX(K154:M154),0)</f>
        <v>0.125</v>
      </c>
      <c r="C157" s="3">
        <f>IF($I$149=1,1/MEDIAN(K154:M154),0)</f>
        <v>0.14285714285714285</v>
      </c>
      <c r="D157" s="3">
        <f>IF($I$149=1,1/MIN(K154:M154),0)</f>
        <v>0.16666666666666666</v>
      </c>
      <c r="E157" s="3">
        <f>IF($I$149=1,1/MAX(K155:M155),0)</f>
        <v>0.125</v>
      </c>
      <c r="F157" s="3">
        <f>IF($I$149=1,1/MEDIAN(K155:M155),0)</f>
        <v>0.14285714285714285</v>
      </c>
      <c r="G157" s="3">
        <f>IF($I$149=1,1/MIN(K155:M155),0)</f>
        <v>0.16666666666666666</v>
      </c>
      <c r="H157" s="3">
        <f>IF($I$149=1,1/MAX(K156:M156),0)</f>
        <v>2</v>
      </c>
      <c r="I157" s="3">
        <f>IF($I$149=1,1/MEDIAN(K156:M156),0)</f>
        <v>3</v>
      </c>
      <c r="J157" s="3">
        <f>IF($I$149=1,1/MIN(K156:M156),0)</f>
        <v>4</v>
      </c>
      <c r="K157" s="14">
        <f t="shared" ref="K157:P157" si="64">IF($I$149=1,K146,0)</f>
        <v>1</v>
      </c>
      <c r="L157" s="15">
        <f t="shared" si="64"/>
        <v>1</v>
      </c>
      <c r="M157" s="16">
        <f t="shared" si="64"/>
        <v>1</v>
      </c>
      <c r="N157" s="11">
        <f t="shared" si="64"/>
        <v>0.16666666666666666</v>
      </c>
      <c r="O157" s="11">
        <f t="shared" si="64"/>
        <v>0.2</v>
      </c>
      <c r="P157" s="11">
        <f t="shared" si="64"/>
        <v>0.25</v>
      </c>
    </row>
    <row r="158" spans="1:16" x14ac:dyDescent="0.3">
      <c r="A158" s="10" t="s">
        <v>27</v>
      </c>
      <c r="B158" s="3">
        <f>IF($I$149=1,1/MAX(N154:P154),0)</f>
        <v>0.16666666666666666</v>
      </c>
      <c r="C158" s="3">
        <f>IF($I$149=1,1/MEDIAN(N154:P154),0)</f>
        <v>0.2</v>
      </c>
      <c r="D158" s="3">
        <f>IF($I$149=1,1/MIN(N154:P154),0)</f>
        <v>0.25</v>
      </c>
      <c r="E158" s="3">
        <f>IF($I$149=1,1/MAX(N155:P155),0)</f>
        <v>0.125</v>
      </c>
      <c r="F158" s="3">
        <f>IF($I$149=1,1/MEDIAN(N155:P155),0)</f>
        <v>0.14285714285714285</v>
      </c>
      <c r="G158" s="3">
        <f>IF($I$149=1,1/MIN(N155:P155),0)</f>
        <v>0.16666666666666666</v>
      </c>
      <c r="H158" s="3">
        <f>IF($I$149=1,1/MAX(N156:P156),0)</f>
        <v>0.25</v>
      </c>
      <c r="I158" s="3">
        <f>IF($I$149=1,1/MEDIAN(N156:P156),0)</f>
        <v>0.33333333333333331</v>
      </c>
      <c r="J158" s="3">
        <f>IF($I$149=1,1/MIN(N156:P156),0)</f>
        <v>0.5</v>
      </c>
      <c r="K158" s="3">
        <f>IF($I$149=1,1/MAX(N157:P157),0)</f>
        <v>4</v>
      </c>
      <c r="L158" s="3">
        <f>IF($I$149=1,1/MEDIAN(N157:P157),0)</f>
        <v>5</v>
      </c>
      <c r="M158" s="3">
        <f>IF($I$149=1,1/MIN(N157:P157),0)</f>
        <v>6</v>
      </c>
      <c r="N158" s="11">
        <f>IF($I$149=1,N147,0)</f>
        <v>1</v>
      </c>
      <c r="O158" s="11">
        <f>IF($I$149=1,O147,0)</f>
        <v>1</v>
      </c>
      <c r="P158" s="11">
        <f>IF($I$149=1,P147,0)</f>
        <v>1</v>
      </c>
    </row>
    <row r="160" spans="1:16" x14ac:dyDescent="0.3">
      <c r="C160">
        <v>1</v>
      </c>
    </row>
    <row r="164" spans="1:16" x14ac:dyDescent="0.3">
      <c r="B164" s="19" t="s">
        <v>21</v>
      </c>
      <c r="C164" s="19"/>
      <c r="D164" s="19"/>
      <c r="J164" s="20" t="s">
        <v>22</v>
      </c>
      <c r="K164" s="20"/>
      <c r="L164" s="20"/>
      <c r="M164" t="s">
        <v>23</v>
      </c>
      <c r="N164" t="s">
        <v>26</v>
      </c>
    </row>
    <row r="165" spans="1:16" x14ac:dyDescent="0.3">
      <c r="A165" s="10" t="s">
        <v>5</v>
      </c>
      <c r="B165" s="18">
        <f>IF($C$160=1,GEOMEAN(B154,E154,H154,K154,N154),0)</f>
        <v>2.4914618792310348</v>
      </c>
      <c r="C165" s="18">
        <f t="shared" ref="C165:D165" si="65">IF($C$160=1,GEOMEAN(C154,F154,I154,L154,O154),0)</f>
        <v>2.8093613917206537</v>
      </c>
      <c r="D165" s="18">
        <f t="shared" si="65"/>
        <v>3.1036911478307196</v>
      </c>
      <c r="I165" s="10" t="s">
        <v>16</v>
      </c>
      <c r="J165" s="18">
        <f>IF($F$167=1,B165*B$31,0)</f>
        <v>0.30387157227617195</v>
      </c>
      <c r="K165" s="18">
        <f t="shared" ref="K165:L165" si="66">IF($F$167=1,C165*C$31,0)</f>
        <v>0.38494427195552822</v>
      </c>
      <c r="L165" s="18">
        <f t="shared" si="66"/>
        <v>0.48276489445040688</v>
      </c>
      <c r="M165">
        <f>AVERAGE(J165:L165)</f>
        <v>0.39052691289403568</v>
      </c>
      <c r="N165">
        <f>IF(AND($F$167=1,$C$160=1),M165/$M$29,0)</f>
        <v>0.38293967781531879</v>
      </c>
    </row>
    <row r="166" spans="1:16" x14ac:dyDescent="0.3">
      <c r="A166" s="17" t="s">
        <v>6</v>
      </c>
      <c r="B166" s="18">
        <f t="shared" ref="B166:B169" si="67">IF($C$160=1,GEOMEAN(B155,E155,H155,K155,N155),0)</f>
        <v>2.7019200770412271</v>
      </c>
      <c r="C166" s="18">
        <f t="shared" ref="C166:C169" si="68">IF($C$160=1,GEOMEAN(C155,F155,I155,L155,O155),0)</f>
        <v>3.0049220937458307</v>
      </c>
      <c r="D166" s="18">
        <f t="shared" ref="D166:D169" si="69">IF($C$160=1,GEOMEAN(D155,G155,J155,M155,P155),0)</f>
        <v>3.2875036590344515</v>
      </c>
      <c r="I166" s="17" t="s">
        <v>17</v>
      </c>
      <c r="J166" s="18">
        <f t="shared" ref="J166:J169" si="70">IF($F$167=1,B166*B$31,0)</f>
        <v>0.32954014220296968</v>
      </c>
      <c r="K166" s="18">
        <f t="shared" ref="K166:K169" si="71">IF($F$167=1,C166*C$31,0)</f>
        <v>0.41174038735956564</v>
      </c>
      <c r="L166" s="18">
        <f t="shared" ref="L166:L169" si="72">IF($F$167=1,D166*D$31,0)</f>
        <v>0.51135608582328429</v>
      </c>
      <c r="M166">
        <f t="shared" ref="M166:M169" si="73">AVERAGE(J166:L166)</f>
        <v>0.41754553846193981</v>
      </c>
      <c r="N166">
        <f t="shared" ref="N166:N169" si="74">IF(AND($F$167=1,$C$160=1),M166/$M$29,0)</f>
        <v>0.40943338011437985</v>
      </c>
    </row>
    <row r="167" spans="1:16" x14ac:dyDescent="0.3">
      <c r="A167" s="10" t="s">
        <v>7</v>
      </c>
      <c r="B167" s="18">
        <f t="shared" si="67"/>
        <v>0.42514150020859692</v>
      </c>
      <c r="C167" s="18">
        <f t="shared" si="68"/>
        <v>0.52530556088075342</v>
      </c>
      <c r="D167" s="18">
        <f t="shared" si="69"/>
        <v>0.6597539553864471</v>
      </c>
      <c r="F167">
        <v>1</v>
      </c>
      <c r="I167" s="10" t="s">
        <v>18</v>
      </c>
      <c r="J167" s="18">
        <f t="shared" si="70"/>
        <v>5.1852455454028286E-2</v>
      </c>
      <c r="K167" s="18">
        <f t="shared" si="71"/>
        <v>7.1978410212145086E-2</v>
      </c>
      <c r="L167" s="18">
        <f t="shared" si="72"/>
        <v>0.10262169573734545</v>
      </c>
      <c r="M167">
        <f t="shared" si="73"/>
        <v>7.5484187134506275E-2</v>
      </c>
      <c r="N167">
        <f t="shared" si="74"/>
        <v>7.4017665228829688E-2</v>
      </c>
    </row>
    <row r="168" spans="1:16" x14ac:dyDescent="0.3">
      <c r="A168" s="17" t="s">
        <v>8</v>
      </c>
      <c r="B168" s="18">
        <f t="shared" si="67"/>
        <v>0.34941355938578961</v>
      </c>
      <c r="C168" s="18">
        <f t="shared" si="68"/>
        <v>0.41456347311242026</v>
      </c>
      <c r="D168" s="18">
        <f t="shared" si="69"/>
        <v>0.48835934193058694</v>
      </c>
      <c r="I168" s="17" t="s">
        <v>19</v>
      </c>
      <c r="J168" s="18">
        <f t="shared" si="70"/>
        <v>4.2616284258759719E-2</v>
      </c>
      <c r="K168" s="18">
        <f t="shared" si="71"/>
        <v>5.6804309622435323E-2</v>
      </c>
      <c r="L168" s="18">
        <f t="shared" si="72"/>
        <v>7.5962051290371771E-2</v>
      </c>
      <c r="M168">
        <f t="shared" si="73"/>
        <v>5.8460881723855607E-2</v>
      </c>
      <c r="N168">
        <f t="shared" si="74"/>
        <v>5.732509200513701E-2</v>
      </c>
    </row>
    <row r="169" spans="1:16" x14ac:dyDescent="0.3">
      <c r="A169" s="10" t="s">
        <v>27</v>
      </c>
      <c r="B169" s="18">
        <f t="shared" si="67"/>
        <v>0.46105395574086389</v>
      </c>
      <c r="C169" s="18">
        <f t="shared" si="68"/>
        <v>0.5439464428888785</v>
      </c>
      <c r="D169" s="18">
        <f t="shared" si="69"/>
        <v>0.6597539553864471</v>
      </c>
      <c r="I169" s="10" t="s">
        <v>20</v>
      </c>
      <c r="J169" s="18">
        <f t="shared" si="70"/>
        <v>5.6232524207179821E-2</v>
      </c>
      <c r="K169" s="18">
        <f t="shared" si="71"/>
        <v>7.4532620850325637E-2</v>
      </c>
      <c r="L169" s="18">
        <f t="shared" si="72"/>
        <v>0.10262169573734545</v>
      </c>
      <c r="M169">
        <f t="shared" si="73"/>
        <v>7.7795613598283644E-2</v>
      </c>
      <c r="N169">
        <f t="shared" si="74"/>
        <v>7.6284184836334631E-2</v>
      </c>
    </row>
    <row r="170" spans="1:16" x14ac:dyDescent="0.3">
      <c r="A170" s="17" t="s">
        <v>12</v>
      </c>
      <c r="B170">
        <f>SUM(B165:B169)</f>
        <v>6.4289909716075124</v>
      </c>
      <c r="C170">
        <f t="shared" ref="C170:D170" si="75">SUM(C165:C169)</f>
        <v>7.2980989623485373</v>
      </c>
      <c r="D170">
        <f t="shared" si="75"/>
        <v>8.1990620595686519</v>
      </c>
      <c r="I170" s="17" t="s">
        <v>12</v>
      </c>
      <c r="M170">
        <f>SUM(M165:M169)</f>
        <v>1.0198131338126211</v>
      </c>
      <c r="N170">
        <f>SUM(N165:N169)</f>
        <v>0.99999999999999989</v>
      </c>
    </row>
    <row r="171" spans="1:16" x14ac:dyDescent="0.3">
      <c r="A171" s="10" t="s">
        <v>24</v>
      </c>
      <c r="B171" s="18">
        <f>IF($C$160=1,1/B170,0)</f>
        <v>0.15554540431248401</v>
      </c>
      <c r="C171" s="18">
        <f t="shared" ref="C171:D171" si="76">IF($C$160=1,1/C170,0)</f>
        <v>0.13702198410285721</v>
      </c>
      <c r="D171" s="18">
        <f t="shared" si="76"/>
        <v>0.12196517025175553</v>
      </c>
    </row>
    <row r="172" spans="1:16" x14ac:dyDescent="0.3">
      <c r="A172" s="17" t="s">
        <v>25</v>
      </c>
      <c r="B172">
        <f>MIN(B171:D171)</f>
        <v>0.12196517025175553</v>
      </c>
      <c r="C172">
        <f>MEDIAN(B171:D171)</f>
        <v>0.13702198410285721</v>
      </c>
      <c r="D172">
        <f>MAX(B171:D171)</f>
        <v>0.15554540431248401</v>
      </c>
    </row>
    <row r="176" spans="1:16" x14ac:dyDescent="0.3">
      <c r="A176" t="s">
        <v>30</v>
      </c>
      <c r="B176" s="22" t="s">
        <v>5</v>
      </c>
      <c r="C176" s="22"/>
      <c r="D176" s="22"/>
      <c r="E176" s="21" t="s">
        <v>6</v>
      </c>
      <c r="F176" s="21"/>
      <c r="G176" s="21"/>
      <c r="H176" s="22" t="s">
        <v>7</v>
      </c>
      <c r="I176" s="22"/>
      <c r="J176" s="22"/>
      <c r="K176" s="21" t="s">
        <v>8</v>
      </c>
      <c r="L176" s="21"/>
      <c r="M176" s="21"/>
      <c r="N176" s="22" t="s">
        <v>27</v>
      </c>
      <c r="O176" s="22"/>
      <c r="P176" s="22"/>
    </row>
    <row r="177" spans="1:16" x14ac:dyDescent="0.3">
      <c r="A177" s="10" t="s">
        <v>5</v>
      </c>
      <c r="B177" s="11">
        <v>1</v>
      </c>
      <c r="C177" s="12">
        <v>1</v>
      </c>
      <c r="D177" s="13">
        <v>1</v>
      </c>
      <c r="E177" s="14">
        <v>1</v>
      </c>
      <c r="F177" s="15">
        <v>1</v>
      </c>
      <c r="G177" s="16">
        <v>1</v>
      </c>
      <c r="H177" s="11">
        <v>4</v>
      </c>
      <c r="I177" s="12">
        <v>5</v>
      </c>
      <c r="J177" s="13">
        <v>6</v>
      </c>
      <c r="K177" s="14">
        <v>6</v>
      </c>
      <c r="L177" s="15">
        <v>7</v>
      </c>
      <c r="M177" s="16">
        <v>8</v>
      </c>
      <c r="N177" s="11">
        <v>4</v>
      </c>
      <c r="O177" s="12">
        <v>5</v>
      </c>
      <c r="P177" s="13">
        <v>6</v>
      </c>
    </row>
    <row r="178" spans="1:16" x14ac:dyDescent="0.3">
      <c r="A178" s="17" t="s">
        <v>6</v>
      </c>
      <c r="B178" s="3"/>
      <c r="C178" s="3"/>
      <c r="D178" s="3"/>
      <c r="E178" s="14">
        <v>1</v>
      </c>
      <c r="F178" s="15">
        <v>1</v>
      </c>
      <c r="G178" s="16">
        <v>1</v>
      </c>
      <c r="H178" s="11">
        <v>4</v>
      </c>
      <c r="I178" s="12">
        <v>5</v>
      </c>
      <c r="J178" s="13">
        <v>6</v>
      </c>
      <c r="K178" s="14">
        <v>6</v>
      </c>
      <c r="L178" s="15">
        <v>7</v>
      </c>
      <c r="M178" s="16">
        <v>8</v>
      </c>
      <c r="N178" s="11">
        <v>6</v>
      </c>
      <c r="O178" s="12">
        <v>7</v>
      </c>
      <c r="P178" s="13">
        <v>8</v>
      </c>
    </row>
    <row r="179" spans="1:16" x14ac:dyDescent="0.3">
      <c r="A179" s="10" t="s">
        <v>7</v>
      </c>
      <c r="B179" s="3"/>
      <c r="C179" s="3"/>
      <c r="D179" s="3"/>
      <c r="E179" s="3"/>
      <c r="F179" s="3"/>
      <c r="G179" s="3"/>
      <c r="H179" s="11">
        <v>1</v>
      </c>
      <c r="I179" s="12">
        <v>1</v>
      </c>
      <c r="J179" s="13">
        <v>1</v>
      </c>
      <c r="K179" s="14">
        <f>1/4</f>
        <v>0.25</v>
      </c>
      <c r="L179" s="15">
        <f>1/3</f>
        <v>0.33333333333333331</v>
      </c>
      <c r="M179" s="16">
        <f>1/2</f>
        <v>0.5</v>
      </c>
      <c r="N179" s="11">
        <v>2</v>
      </c>
      <c r="O179" s="12">
        <v>3</v>
      </c>
      <c r="P179" s="13">
        <v>4</v>
      </c>
    </row>
    <row r="180" spans="1:16" x14ac:dyDescent="0.3">
      <c r="A180" s="17" t="s">
        <v>8</v>
      </c>
      <c r="B180" s="3"/>
      <c r="C180" s="3"/>
      <c r="D180" s="3"/>
      <c r="E180" s="3"/>
      <c r="F180" s="3"/>
      <c r="G180" s="3"/>
      <c r="H180" s="3"/>
      <c r="I180" s="3"/>
      <c r="J180" s="3"/>
      <c r="K180" s="14">
        <v>1</v>
      </c>
      <c r="L180" s="15">
        <v>1</v>
      </c>
      <c r="M180" s="16">
        <v>1</v>
      </c>
      <c r="N180" s="11">
        <f>1/6</f>
        <v>0.16666666666666666</v>
      </c>
      <c r="O180" s="12">
        <f>1/5</f>
        <v>0.2</v>
      </c>
      <c r="P180" s="13">
        <f>1/4</f>
        <v>0.25</v>
      </c>
    </row>
    <row r="181" spans="1:16" x14ac:dyDescent="0.3">
      <c r="A181" s="10" t="s">
        <v>27</v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11">
        <v>1</v>
      </c>
      <c r="O181" s="12">
        <v>1</v>
      </c>
      <c r="P181" s="13">
        <v>1</v>
      </c>
    </row>
    <row r="183" spans="1:16" x14ac:dyDescent="0.3">
      <c r="I183">
        <v>1</v>
      </c>
    </row>
    <row r="187" spans="1:16" x14ac:dyDescent="0.3">
      <c r="B187" s="22" t="s">
        <v>5</v>
      </c>
      <c r="C187" s="22"/>
      <c r="D187" s="22"/>
      <c r="E187" s="21" t="s">
        <v>6</v>
      </c>
      <c r="F187" s="21"/>
      <c r="G187" s="21"/>
      <c r="H187" s="22" t="s">
        <v>7</v>
      </c>
      <c r="I187" s="22"/>
      <c r="J187" s="22"/>
      <c r="K187" s="21" t="s">
        <v>8</v>
      </c>
      <c r="L187" s="21"/>
      <c r="M187" s="21"/>
      <c r="N187" s="22" t="s">
        <v>27</v>
      </c>
      <c r="O187" s="22"/>
      <c r="P187" s="22"/>
    </row>
    <row r="188" spans="1:16" x14ac:dyDescent="0.3">
      <c r="A188" s="10" t="s">
        <v>5</v>
      </c>
      <c r="B188" s="11">
        <f t="shared" ref="B188:P188" si="77">IF($I$183=1,B177,0)</f>
        <v>1</v>
      </c>
      <c r="C188" s="11">
        <f t="shared" si="77"/>
        <v>1</v>
      </c>
      <c r="D188" s="11">
        <f t="shared" si="77"/>
        <v>1</v>
      </c>
      <c r="E188" s="14">
        <f t="shared" si="77"/>
        <v>1</v>
      </c>
      <c r="F188" s="15">
        <f t="shared" si="77"/>
        <v>1</v>
      </c>
      <c r="G188" s="16">
        <f t="shared" si="77"/>
        <v>1</v>
      </c>
      <c r="H188" s="11">
        <f t="shared" si="77"/>
        <v>4</v>
      </c>
      <c r="I188" s="11">
        <f t="shared" si="77"/>
        <v>5</v>
      </c>
      <c r="J188" s="11">
        <f t="shared" si="77"/>
        <v>6</v>
      </c>
      <c r="K188" s="14">
        <f t="shared" si="77"/>
        <v>6</v>
      </c>
      <c r="L188" s="15">
        <f t="shared" si="77"/>
        <v>7</v>
      </c>
      <c r="M188" s="16">
        <f t="shared" si="77"/>
        <v>8</v>
      </c>
      <c r="N188" s="11">
        <f t="shared" si="77"/>
        <v>4</v>
      </c>
      <c r="O188" s="11">
        <f t="shared" si="77"/>
        <v>5</v>
      </c>
      <c r="P188" s="11">
        <f t="shared" si="77"/>
        <v>6</v>
      </c>
    </row>
    <row r="189" spans="1:16" x14ac:dyDescent="0.3">
      <c r="A189" s="17" t="s">
        <v>6</v>
      </c>
      <c r="B189" s="3">
        <f>IF($I$183=1,1/MAX(E188:G188),0)</f>
        <v>1</v>
      </c>
      <c r="C189" s="3">
        <f>IF($I$183=1,1/MEDIAN(E188:G188),0)</f>
        <v>1</v>
      </c>
      <c r="D189" s="3">
        <f>IF($I$183=1,1/MIN(E188:G188),0)</f>
        <v>1</v>
      </c>
      <c r="E189" s="14">
        <f t="shared" ref="E189:P189" si="78">IF($I$183=1,E178,0)</f>
        <v>1</v>
      </c>
      <c r="F189" s="15">
        <f t="shared" si="78"/>
        <v>1</v>
      </c>
      <c r="G189" s="16">
        <f t="shared" si="78"/>
        <v>1</v>
      </c>
      <c r="H189" s="11">
        <f t="shared" si="78"/>
        <v>4</v>
      </c>
      <c r="I189" s="11">
        <f t="shared" si="78"/>
        <v>5</v>
      </c>
      <c r="J189" s="11">
        <f t="shared" si="78"/>
        <v>6</v>
      </c>
      <c r="K189" s="14">
        <f t="shared" si="78"/>
        <v>6</v>
      </c>
      <c r="L189" s="15">
        <f t="shared" si="78"/>
        <v>7</v>
      </c>
      <c r="M189" s="16">
        <f t="shared" si="78"/>
        <v>8</v>
      </c>
      <c r="N189" s="11">
        <f t="shared" si="78"/>
        <v>6</v>
      </c>
      <c r="O189" s="11">
        <f t="shared" si="78"/>
        <v>7</v>
      </c>
      <c r="P189" s="11">
        <f t="shared" si="78"/>
        <v>8</v>
      </c>
    </row>
    <row r="190" spans="1:16" x14ac:dyDescent="0.3">
      <c r="A190" s="10" t="s">
        <v>7</v>
      </c>
      <c r="B190" s="3">
        <f>IF($I$183=1,1/MAX(H188:J188),0)</f>
        <v>0.16666666666666666</v>
      </c>
      <c r="C190" s="3">
        <f>IF($I$183=1,1/MEDIAN(H188:J188),0)</f>
        <v>0.2</v>
      </c>
      <c r="D190" s="3">
        <f>IF($I$183=1,1/MIN(H188:J188),0)</f>
        <v>0.25</v>
      </c>
      <c r="E190" s="3">
        <f>IF($I$183=1,1/MAX(H189:J189),0)</f>
        <v>0.16666666666666666</v>
      </c>
      <c r="F190" s="3">
        <f>IF($I$183=1,1/MEDIAN(H189:J189),0)</f>
        <v>0.2</v>
      </c>
      <c r="G190" s="3">
        <f>IF($I$183=1,1/MIN(H189:J189),0)</f>
        <v>0.25</v>
      </c>
      <c r="H190" s="11">
        <f t="shared" ref="H190:P190" si="79">IF($I$183=1,H179,0)</f>
        <v>1</v>
      </c>
      <c r="I190" s="11">
        <f t="shared" si="79"/>
        <v>1</v>
      </c>
      <c r="J190" s="11">
        <f t="shared" si="79"/>
        <v>1</v>
      </c>
      <c r="K190" s="14">
        <f t="shared" si="79"/>
        <v>0.25</v>
      </c>
      <c r="L190" s="15">
        <f t="shared" si="79"/>
        <v>0.33333333333333331</v>
      </c>
      <c r="M190" s="16">
        <f t="shared" si="79"/>
        <v>0.5</v>
      </c>
      <c r="N190" s="11">
        <f t="shared" si="79"/>
        <v>2</v>
      </c>
      <c r="O190" s="11">
        <f t="shared" si="79"/>
        <v>3</v>
      </c>
      <c r="P190" s="11">
        <f t="shared" si="79"/>
        <v>4</v>
      </c>
    </row>
    <row r="191" spans="1:16" x14ac:dyDescent="0.3">
      <c r="A191" s="17" t="s">
        <v>8</v>
      </c>
      <c r="B191" s="3">
        <f>IF($I$183=1,1/MAX(K188:M188),0)</f>
        <v>0.125</v>
      </c>
      <c r="C191" s="3">
        <f>IF($I$183=1,1/MEDIAN(K188:M188),0)</f>
        <v>0.14285714285714285</v>
      </c>
      <c r="D191" s="3">
        <f>IF($I$183=1,1/MIN(K188:M188),0)</f>
        <v>0.16666666666666666</v>
      </c>
      <c r="E191" s="3">
        <f>IF($I$183=1,1/MAX(K189:M189),0)</f>
        <v>0.125</v>
      </c>
      <c r="F191" s="3">
        <f>IF($I$183=1,1/MEDIAN(K189:M189),0)</f>
        <v>0.14285714285714285</v>
      </c>
      <c r="G191" s="3">
        <f>IF($I$183=1,1/MIN(K189:M189),0)</f>
        <v>0.16666666666666666</v>
      </c>
      <c r="H191" s="3">
        <f>IF($I$183=1,1/MAX(K190:M190),0)</f>
        <v>2</v>
      </c>
      <c r="I191" s="3">
        <f>IF($I$183=1,1/MEDIAN(K190:M190),0)</f>
        <v>3</v>
      </c>
      <c r="J191" s="3">
        <f>IF($I$183=1,1/MIN(K190:M190),0)</f>
        <v>4</v>
      </c>
      <c r="K191" s="14">
        <f t="shared" ref="K191:P191" si="80">IF($I$183=1,K180,0)</f>
        <v>1</v>
      </c>
      <c r="L191" s="15">
        <f t="shared" si="80"/>
        <v>1</v>
      </c>
      <c r="M191" s="16">
        <f t="shared" si="80"/>
        <v>1</v>
      </c>
      <c r="N191" s="11">
        <f t="shared" si="80"/>
        <v>0.16666666666666666</v>
      </c>
      <c r="O191" s="11">
        <f t="shared" si="80"/>
        <v>0.2</v>
      </c>
      <c r="P191" s="11">
        <f t="shared" si="80"/>
        <v>0.25</v>
      </c>
    </row>
    <row r="192" spans="1:16" x14ac:dyDescent="0.3">
      <c r="A192" s="10" t="s">
        <v>27</v>
      </c>
      <c r="B192" s="3">
        <f>IF($I$183=1,1/MAX(N188:P188),0)</f>
        <v>0.16666666666666666</v>
      </c>
      <c r="C192" s="3">
        <f>IF($I$183=1,1/MEDIAN(N188:P188),0)</f>
        <v>0.2</v>
      </c>
      <c r="D192" s="3">
        <f>IF($I$183=1,1/MIN(N188:P188),0)</f>
        <v>0.25</v>
      </c>
      <c r="E192" s="3">
        <f>IF($I$183=1,1/MAX(N189:P189),0)</f>
        <v>0.125</v>
      </c>
      <c r="F192" s="3">
        <f>IF($I$183=1,1/MEDIAN(N189:P189),0)</f>
        <v>0.14285714285714285</v>
      </c>
      <c r="G192" s="3">
        <f>IF($I$183=1,1/MIN(N189:P189),0)</f>
        <v>0.16666666666666666</v>
      </c>
      <c r="H192" s="3">
        <f>IF($I$183=1,1/MAX(N190:P190),0)</f>
        <v>0.25</v>
      </c>
      <c r="I192" s="3">
        <f>IF($I$183=1,1/MEDIAN(N190:P190),0)</f>
        <v>0.33333333333333331</v>
      </c>
      <c r="J192" s="3">
        <f>IF($I$183=1,1/MIN(N190:P190),0)</f>
        <v>0.5</v>
      </c>
      <c r="K192" s="3">
        <f>IF($I$183=1,1/MAX(N191:P191),0)</f>
        <v>4</v>
      </c>
      <c r="L192" s="3">
        <f>IF($I$183=1,1/MEDIAN(N191:P191),0)</f>
        <v>5</v>
      </c>
      <c r="M192" s="3">
        <f>IF($I$183=1,1/MIN(N191:P191),0)</f>
        <v>6</v>
      </c>
      <c r="N192" s="11">
        <f>IF($I$183=1,N181,0)</f>
        <v>1</v>
      </c>
      <c r="O192" s="11">
        <f>IF($I$183=1,O181,0)</f>
        <v>1</v>
      </c>
      <c r="P192" s="11">
        <f>IF($I$183=1,P181,0)</f>
        <v>1</v>
      </c>
    </row>
    <row r="194" spans="1:14" x14ac:dyDescent="0.3">
      <c r="C194">
        <v>1</v>
      </c>
    </row>
    <row r="198" spans="1:14" x14ac:dyDescent="0.3">
      <c r="B198" s="19" t="s">
        <v>21</v>
      </c>
      <c r="C198" s="19"/>
      <c r="D198" s="19"/>
      <c r="J198" s="20" t="s">
        <v>22</v>
      </c>
      <c r="K198" s="20"/>
      <c r="L198" s="20"/>
      <c r="M198" t="s">
        <v>23</v>
      </c>
      <c r="N198" t="s">
        <v>26</v>
      </c>
    </row>
    <row r="199" spans="1:14" x14ac:dyDescent="0.3">
      <c r="A199" s="10" t="s">
        <v>5</v>
      </c>
      <c r="B199" s="18">
        <f>IF($C$194=1,GEOMEAN(B188,E188,H188,K188,N188),0)</f>
        <v>2.4914618792310348</v>
      </c>
      <c r="C199" s="18">
        <f t="shared" ref="C199:D199" si="81">IF($C$194=1,GEOMEAN(C188,F188,I188,L188,O188),0)</f>
        <v>2.8093613917206537</v>
      </c>
      <c r="D199" s="18">
        <f t="shared" si="81"/>
        <v>3.1036911478307196</v>
      </c>
      <c r="I199" s="10" t="s">
        <v>16</v>
      </c>
      <c r="J199" s="18">
        <f>IF($F$201=1,B199*B$31,0)</f>
        <v>0.30387157227617195</v>
      </c>
      <c r="K199" s="18">
        <f t="shared" ref="K199:L199" si="82">IF($F$201=1,C199*C$31,0)</f>
        <v>0.38494427195552822</v>
      </c>
      <c r="L199" s="18">
        <f t="shared" si="82"/>
        <v>0.48276489445040688</v>
      </c>
      <c r="M199">
        <f>AVERAGE(J199:L199)</f>
        <v>0.39052691289403568</v>
      </c>
      <c r="N199">
        <f>IF(AND($F$201=1,$C$194=1),M199/$M$29,0)</f>
        <v>0.38293967781531879</v>
      </c>
    </row>
    <row r="200" spans="1:14" x14ac:dyDescent="0.3">
      <c r="A200" s="17" t="s">
        <v>6</v>
      </c>
      <c r="B200" s="18">
        <f t="shared" ref="B200:B203" si="83">IF($C$194=1,GEOMEAN(B189,E189,H189,K189,N189),0)</f>
        <v>2.7019200770412271</v>
      </c>
      <c r="C200" s="18">
        <f t="shared" ref="C200:C203" si="84">IF($C$194=1,GEOMEAN(C189,F189,I189,L189,O189),0)</f>
        <v>3.0049220937458307</v>
      </c>
      <c r="D200" s="18">
        <f t="shared" ref="D200:D203" si="85">IF($C$194=1,GEOMEAN(D189,G189,J189,M189,P189),0)</f>
        <v>3.2875036590344515</v>
      </c>
      <c r="I200" s="17" t="s">
        <v>17</v>
      </c>
      <c r="J200" s="18">
        <f t="shared" ref="J200:J203" si="86">IF($F$201=1,B200*B$31,0)</f>
        <v>0.32954014220296968</v>
      </c>
      <c r="K200" s="18">
        <f t="shared" ref="K200:K203" si="87">IF($F$201=1,C200*C$31,0)</f>
        <v>0.41174038735956564</v>
      </c>
      <c r="L200" s="18">
        <f t="shared" ref="L200:L203" si="88">IF($F$201=1,D200*D$31,0)</f>
        <v>0.51135608582328429</v>
      </c>
      <c r="M200">
        <f t="shared" ref="M200:M203" si="89">AVERAGE(J200:L200)</f>
        <v>0.41754553846193981</v>
      </c>
      <c r="N200">
        <f t="shared" ref="N200:N203" si="90">IF(AND($F$201=1,$C$194=1),M200/$M$29,0)</f>
        <v>0.40943338011437985</v>
      </c>
    </row>
    <row r="201" spans="1:14" x14ac:dyDescent="0.3">
      <c r="A201" s="10" t="s">
        <v>7</v>
      </c>
      <c r="B201" s="18">
        <f t="shared" si="83"/>
        <v>0.42514150020859692</v>
      </c>
      <c r="C201" s="18">
        <f t="shared" si="84"/>
        <v>0.52530556088075342</v>
      </c>
      <c r="D201" s="18">
        <f t="shared" si="85"/>
        <v>0.6597539553864471</v>
      </c>
      <c r="F201">
        <v>1</v>
      </c>
      <c r="I201" s="10" t="s">
        <v>18</v>
      </c>
      <c r="J201" s="18">
        <f t="shared" si="86"/>
        <v>5.1852455454028286E-2</v>
      </c>
      <c r="K201" s="18">
        <f t="shared" si="87"/>
        <v>7.1978410212145086E-2</v>
      </c>
      <c r="L201" s="18">
        <f t="shared" si="88"/>
        <v>0.10262169573734545</v>
      </c>
      <c r="M201">
        <f t="shared" si="89"/>
        <v>7.5484187134506275E-2</v>
      </c>
      <c r="N201">
        <f t="shared" si="90"/>
        <v>7.4017665228829688E-2</v>
      </c>
    </row>
    <row r="202" spans="1:14" x14ac:dyDescent="0.3">
      <c r="A202" s="17" t="s">
        <v>8</v>
      </c>
      <c r="B202" s="18">
        <f t="shared" si="83"/>
        <v>0.34941355938578961</v>
      </c>
      <c r="C202" s="18">
        <f t="shared" si="84"/>
        <v>0.41456347311242026</v>
      </c>
      <c r="D202" s="18">
        <f t="shared" si="85"/>
        <v>0.48835934193058694</v>
      </c>
      <c r="I202" s="17" t="s">
        <v>19</v>
      </c>
      <c r="J202" s="18">
        <f t="shared" si="86"/>
        <v>4.2616284258759719E-2</v>
      </c>
      <c r="K202" s="18">
        <f t="shared" si="87"/>
        <v>5.6804309622435323E-2</v>
      </c>
      <c r="L202" s="18">
        <f t="shared" si="88"/>
        <v>7.5962051290371771E-2</v>
      </c>
      <c r="M202">
        <f t="shared" si="89"/>
        <v>5.8460881723855607E-2</v>
      </c>
      <c r="N202">
        <f t="shared" si="90"/>
        <v>5.732509200513701E-2</v>
      </c>
    </row>
    <row r="203" spans="1:14" x14ac:dyDescent="0.3">
      <c r="A203" s="10" t="s">
        <v>27</v>
      </c>
      <c r="B203" s="18">
        <f t="shared" si="83"/>
        <v>0.46105395574086389</v>
      </c>
      <c r="C203" s="18">
        <f t="shared" si="84"/>
        <v>0.5439464428888785</v>
      </c>
      <c r="D203" s="18">
        <f t="shared" si="85"/>
        <v>0.6597539553864471</v>
      </c>
      <c r="I203" s="10" t="s">
        <v>20</v>
      </c>
      <c r="J203" s="18">
        <f t="shared" si="86"/>
        <v>5.6232524207179821E-2</v>
      </c>
      <c r="K203" s="18">
        <f t="shared" si="87"/>
        <v>7.4532620850325637E-2</v>
      </c>
      <c r="L203" s="18">
        <f t="shared" si="88"/>
        <v>0.10262169573734545</v>
      </c>
      <c r="M203">
        <f t="shared" si="89"/>
        <v>7.7795613598283644E-2</v>
      </c>
      <c r="N203">
        <f t="shared" si="90"/>
        <v>7.6284184836334631E-2</v>
      </c>
    </row>
    <row r="204" spans="1:14" x14ac:dyDescent="0.3">
      <c r="A204" s="17" t="s">
        <v>12</v>
      </c>
      <c r="B204">
        <f>SUM(B199:B203)</f>
        <v>6.4289909716075124</v>
      </c>
      <c r="C204">
        <f t="shared" ref="C204:D204" si="91">SUM(C199:C203)</f>
        <v>7.2980989623485373</v>
      </c>
      <c r="D204">
        <f t="shared" si="91"/>
        <v>8.1990620595686519</v>
      </c>
      <c r="I204" s="17" t="s">
        <v>12</v>
      </c>
      <c r="M204">
        <f>SUM(M199:M203)</f>
        <v>1.0198131338126211</v>
      </c>
      <c r="N204">
        <f>SUM(N199:N203)</f>
        <v>0.99999999999999989</v>
      </c>
    </row>
    <row r="205" spans="1:14" x14ac:dyDescent="0.3">
      <c r="A205" s="10" t="s">
        <v>24</v>
      </c>
      <c r="B205" s="18">
        <f>IF($C$194=1,1/B204,0)</f>
        <v>0.15554540431248401</v>
      </c>
      <c r="C205" s="18">
        <f t="shared" ref="C205:D205" si="92">IF($C$194=1,1/C204,0)</f>
        <v>0.13702198410285721</v>
      </c>
      <c r="D205" s="18">
        <f t="shared" si="92"/>
        <v>0.12196517025175553</v>
      </c>
    </row>
    <row r="206" spans="1:14" x14ac:dyDescent="0.3">
      <c r="A206" s="17" t="s">
        <v>25</v>
      </c>
      <c r="B206">
        <f>MIN(B205:D205)</f>
        <v>0.12196517025175553</v>
      </c>
      <c r="C206">
        <f>MEDIAN(B205:D205)</f>
        <v>0.13702198410285721</v>
      </c>
      <c r="D206">
        <f>MAX(B205:D205)</f>
        <v>0.15554540431248401</v>
      </c>
    </row>
    <row r="212" spans="1:16" x14ac:dyDescent="0.3">
      <c r="A212" s="4"/>
      <c r="B212" s="4" t="s">
        <v>14</v>
      </c>
      <c r="C212" s="4" t="s">
        <v>5</v>
      </c>
      <c r="D212" s="4" t="s">
        <v>6</v>
      </c>
      <c r="E212" s="4" t="s">
        <v>7</v>
      </c>
      <c r="F212" s="4" t="s">
        <v>8</v>
      </c>
      <c r="G212" s="4" t="s">
        <v>27</v>
      </c>
      <c r="K212" s="4"/>
      <c r="L212" s="4" t="s">
        <v>5</v>
      </c>
      <c r="M212" s="4" t="s">
        <v>6</v>
      </c>
      <c r="N212" s="4" t="s">
        <v>7</v>
      </c>
      <c r="O212" s="4" t="s">
        <v>8</v>
      </c>
      <c r="P212" s="4" t="s">
        <v>27</v>
      </c>
    </row>
    <row r="213" spans="1:16" x14ac:dyDescent="0.3">
      <c r="A213" s="10" t="s">
        <v>16</v>
      </c>
      <c r="B213" s="2">
        <f>N24</f>
        <v>0.38293967781531879</v>
      </c>
      <c r="C213" s="2">
        <f>N62</f>
        <v>0.38293967781531879</v>
      </c>
      <c r="D213" s="2">
        <f>N63</f>
        <v>0.40943338011437985</v>
      </c>
      <c r="E213" s="2">
        <f>N64</f>
        <v>7.4017665228829688E-2</v>
      </c>
      <c r="F213" s="2">
        <f>N65</f>
        <v>5.732509200513701E-2</v>
      </c>
      <c r="G213" s="2">
        <f>N66</f>
        <v>7.6284184836334631E-2</v>
      </c>
      <c r="K213" s="10" t="s">
        <v>16</v>
      </c>
      <c r="L213" s="2">
        <f>IF($I$214=1,$B213*C213,0)</f>
        <v>0.14664279684530016</v>
      </c>
      <c r="M213" s="2">
        <f t="shared" ref="M213:P213" si="93">IF($I$214=1,$B213*D213,0)</f>
        <v>0.15678828666783756</v>
      </c>
      <c r="N213" s="2">
        <f t="shared" si="93"/>
        <v>2.8344300875370165E-2</v>
      </c>
      <c r="O213" s="2">
        <f t="shared" si="93"/>
        <v>2.1952052263180675E-2</v>
      </c>
      <c r="P213" s="2">
        <f t="shared" si="93"/>
        <v>2.921224116363021E-2</v>
      </c>
    </row>
    <row r="214" spans="1:16" x14ac:dyDescent="0.3">
      <c r="A214" s="17" t="s">
        <v>17</v>
      </c>
      <c r="B214" s="2">
        <f t="shared" ref="B214:B217" si="94">N25</f>
        <v>0.40943338011437985</v>
      </c>
      <c r="C214" s="2">
        <f>N97</f>
        <v>0.38293967781531879</v>
      </c>
      <c r="D214" s="2">
        <f>N98</f>
        <v>0.40943338011437985</v>
      </c>
      <c r="E214" s="2">
        <f>N99</f>
        <v>7.4017665228829688E-2</v>
      </c>
      <c r="F214" s="2">
        <f>N100</f>
        <v>5.732509200513701E-2</v>
      </c>
      <c r="G214" s="2">
        <f>N101</f>
        <v>7.6284184836334631E-2</v>
      </c>
      <c r="I214">
        <v>1</v>
      </c>
      <c r="K214" s="17" t="s">
        <v>17</v>
      </c>
      <c r="L214" s="2">
        <f t="shared" ref="L214:L217" si="95">IF($I$214=1,$B214*C214,0)</f>
        <v>0.15678828666783756</v>
      </c>
      <c r="M214" s="2">
        <f t="shared" ref="M214:M217" si="96">IF($I$214=1,$B214*D214,0)</f>
        <v>0.16763569275188625</v>
      </c>
      <c r="N214" s="2">
        <f t="shared" ref="N214:N217" si="97">IF($I$214=1,$B214*E214,0)</f>
        <v>3.0305302862814344E-2</v>
      </c>
      <c r="O214" s="2">
        <f t="shared" ref="O214:O217" si="98">IF($I$214=1,$B214*F214,0)</f>
        <v>2.347080618503106E-2</v>
      </c>
      <c r="P214" s="2">
        <f t="shared" ref="P214:P217" si="99">IF($I$214=1,$B214*G214,0)</f>
        <v>3.1233291646810608E-2</v>
      </c>
    </row>
    <row r="215" spans="1:16" x14ac:dyDescent="0.3">
      <c r="A215" s="10" t="s">
        <v>18</v>
      </c>
      <c r="B215" s="2">
        <f t="shared" si="94"/>
        <v>7.4017665228829688E-2</v>
      </c>
      <c r="C215" s="2">
        <f>N131</f>
        <v>0.38293967781531879</v>
      </c>
      <c r="D215" s="2">
        <f>N132</f>
        <v>0.40943338011437985</v>
      </c>
      <c r="E215" s="2">
        <f>N133</f>
        <v>7.4017665228829688E-2</v>
      </c>
      <c r="F215" s="2">
        <f>N134</f>
        <v>5.732509200513701E-2</v>
      </c>
      <c r="G215" s="2">
        <f>N135</f>
        <v>7.6284184836334631E-2</v>
      </c>
      <c r="K215" s="10" t="s">
        <v>18</v>
      </c>
      <c r="L215" s="2">
        <f t="shared" si="95"/>
        <v>2.8344300875370165E-2</v>
      </c>
      <c r="M215" s="2">
        <f t="shared" si="96"/>
        <v>3.0305302862814344E-2</v>
      </c>
      <c r="N215" s="2">
        <f t="shared" si="97"/>
        <v>5.4786147659271036E-3</v>
      </c>
      <c r="O215" s="2">
        <f t="shared" si="98"/>
        <v>4.2430694692480921E-3</v>
      </c>
      <c r="P215" s="2">
        <f t="shared" si="99"/>
        <v>5.646377255469983E-3</v>
      </c>
    </row>
    <row r="216" spans="1:16" x14ac:dyDescent="0.3">
      <c r="A216" s="17" t="s">
        <v>19</v>
      </c>
      <c r="B216" s="2">
        <f t="shared" si="94"/>
        <v>5.732509200513701E-2</v>
      </c>
      <c r="C216" s="2">
        <f>N165</f>
        <v>0.38293967781531879</v>
      </c>
      <c r="D216" s="2">
        <f>N166</f>
        <v>0.40943338011437985</v>
      </c>
      <c r="E216" s="2">
        <f>N167</f>
        <v>7.4017665228829688E-2</v>
      </c>
      <c r="F216" s="2">
        <f>N168</f>
        <v>5.732509200513701E-2</v>
      </c>
      <c r="G216" s="2">
        <f>N169</f>
        <v>7.6284184836334631E-2</v>
      </c>
      <c r="K216" s="17" t="s">
        <v>19</v>
      </c>
      <c r="L216" s="2">
        <f t="shared" si="95"/>
        <v>2.1952052263180675E-2</v>
      </c>
      <c r="M216" s="2">
        <f t="shared" si="96"/>
        <v>2.347080618503106E-2</v>
      </c>
      <c r="N216" s="2">
        <f t="shared" si="97"/>
        <v>4.2430694692480921E-3</v>
      </c>
      <c r="O216" s="2">
        <f t="shared" si="98"/>
        <v>3.2861661733974232E-3</v>
      </c>
      <c r="P216" s="2">
        <f t="shared" si="99"/>
        <v>4.3729979142797604E-3</v>
      </c>
    </row>
    <row r="217" spans="1:16" x14ac:dyDescent="0.3">
      <c r="A217" s="10" t="s">
        <v>20</v>
      </c>
      <c r="B217" s="2">
        <f t="shared" si="94"/>
        <v>7.6284184836334631E-2</v>
      </c>
      <c r="C217" s="2">
        <f>N199</f>
        <v>0.38293967781531879</v>
      </c>
      <c r="D217" s="2">
        <f>N200</f>
        <v>0.40943338011437985</v>
      </c>
      <c r="E217" s="2">
        <f>N201</f>
        <v>7.4017665228829688E-2</v>
      </c>
      <c r="F217" s="2">
        <f>N202</f>
        <v>5.732509200513701E-2</v>
      </c>
      <c r="G217" s="2">
        <f>N203</f>
        <v>7.6284184836334631E-2</v>
      </c>
      <c r="K217" s="10" t="s">
        <v>20</v>
      </c>
      <c r="L217" s="2">
        <f t="shared" si="95"/>
        <v>2.921224116363021E-2</v>
      </c>
      <c r="M217" s="2">
        <f t="shared" si="96"/>
        <v>3.1233291646810608E-2</v>
      </c>
      <c r="N217" s="2">
        <f t="shared" si="97"/>
        <v>5.646377255469983E-3</v>
      </c>
      <c r="O217" s="2">
        <f t="shared" si="98"/>
        <v>4.3729979142797604E-3</v>
      </c>
      <c r="P217" s="2">
        <f t="shared" si="99"/>
        <v>5.8192768561440662E-3</v>
      </c>
    </row>
    <row r="218" spans="1:16" x14ac:dyDescent="0.3">
      <c r="K218" s="17" t="s">
        <v>15</v>
      </c>
      <c r="L218" s="2">
        <f>SUM(L213:L217)</f>
        <v>0.38293967781531879</v>
      </c>
      <c r="M218" s="2">
        <f t="shared" ref="M218:P218" si="100">SUM(M213:M217)</f>
        <v>0.4094333801143798</v>
      </c>
      <c r="N218" s="2">
        <f t="shared" si="100"/>
        <v>7.4017665228829688E-2</v>
      </c>
      <c r="O218" s="2">
        <f t="shared" si="100"/>
        <v>5.732509200513701E-2</v>
      </c>
      <c r="P218" s="2">
        <f t="shared" si="100"/>
        <v>7.6284184836334645E-2</v>
      </c>
    </row>
    <row r="223" spans="1:16" x14ac:dyDescent="0.3">
      <c r="E223">
        <v>1</v>
      </c>
      <c r="F223">
        <v>1</v>
      </c>
      <c r="J223">
        <v>1</v>
      </c>
    </row>
    <row r="224" spans="1:16" x14ac:dyDescent="0.3">
      <c r="H224" t="str">
        <f ca="1">IF(AND($I$214=1,$F$223=1),INDIRECT(ADDRESS(212,MATCH(MAX($L$218:$P$218),$L$218:$P$218,0)+11)),"NA")</f>
        <v>P2</v>
      </c>
      <c r="M224" t="str">
        <f ca="1">IF(AND($I$214=1,$J$223=1),INDIRECT(ADDRESS(212,MATCH(MIN($L$218:$P$218),$L$218:$P$218,0)+11)),"NA")</f>
        <v>P4</v>
      </c>
    </row>
  </sheetData>
  <mergeCells count="72">
    <mergeCell ref="B198:D198"/>
    <mergeCell ref="J198:L198"/>
    <mergeCell ref="N176:P176"/>
    <mergeCell ref="B187:D187"/>
    <mergeCell ref="E187:G187"/>
    <mergeCell ref="H187:J187"/>
    <mergeCell ref="K187:M187"/>
    <mergeCell ref="N187:P187"/>
    <mergeCell ref="B164:D164"/>
    <mergeCell ref="J164:L164"/>
    <mergeCell ref="B176:D176"/>
    <mergeCell ref="E176:G176"/>
    <mergeCell ref="H176:J176"/>
    <mergeCell ref="K176:M176"/>
    <mergeCell ref="N142:P142"/>
    <mergeCell ref="B153:D153"/>
    <mergeCell ref="E153:G153"/>
    <mergeCell ref="H153:J153"/>
    <mergeCell ref="K153:M153"/>
    <mergeCell ref="N153:P153"/>
    <mergeCell ref="B130:D130"/>
    <mergeCell ref="J130:L130"/>
    <mergeCell ref="B142:D142"/>
    <mergeCell ref="E142:G142"/>
    <mergeCell ref="H142:J142"/>
    <mergeCell ref="K142:M142"/>
    <mergeCell ref="N108:P108"/>
    <mergeCell ref="B119:D119"/>
    <mergeCell ref="E119:G119"/>
    <mergeCell ref="H119:J119"/>
    <mergeCell ref="K119:M119"/>
    <mergeCell ref="N119:P119"/>
    <mergeCell ref="B96:D96"/>
    <mergeCell ref="J96:L96"/>
    <mergeCell ref="B108:D108"/>
    <mergeCell ref="E108:G108"/>
    <mergeCell ref="H108:J108"/>
    <mergeCell ref="K108:M108"/>
    <mergeCell ref="N50:P50"/>
    <mergeCell ref="B85:D85"/>
    <mergeCell ref="E85:G85"/>
    <mergeCell ref="H85:J85"/>
    <mergeCell ref="K85:M85"/>
    <mergeCell ref="N85:P85"/>
    <mergeCell ref="B74:D74"/>
    <mergeCell ref="E74:G74"/>
    <mergeCell ref="H74:J74"/>
    <mergeCell ref="K74:M74"/>
    <mergeCell ref="N74:P74"/>
    <mergeCell ref="B61:D61"/>
    <mergeCell ref="J61:L61"/>
    <mergeCell ref="K1:M1"/>
    <mergeCell ref="B50:D50"/>
    <mergeCell ref="E50:G50"/>
    <mergeCell ref="H50:J50"/>
    <mergeCell ref="K50:M50"/>
    <mergeCell ref="N1:P1"/>
    <mergeCell ref="B39:D39"/>
    <mergeCell ref="E39:G39"/>
    <mergeCell ref="H39:J39"/>
    <mergeCell ref="K39:M39"/>
    <mergeCell ref="N39:P39"/>
    <mergeCell ref="B12:D12"/>
    <mergeCell ref="E12:G12"/>
    <mergeCell ref="H12:J12"/>
    <mergeCell ref="K12:M12"/>
    <mergeCell ref="N12:P12"/>
    <mergeCell ref="B23:D23"/>
    <mergeCell ref="J23:L23"/>
    <mergeCell ref="B1:D1"/>
    <mergeCell ref="E1:G1"/>
    <mergeCell ref="H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AHP</vt:lpstr>
      <vt:lpstr>Fuzzy AHP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2019-09-24T16:39:01Z</dcterms:created>
  <dcterms:modified xsi:type="dcterms:W3CDTF">2019-09-25T10:06:58Z</dcterms:modified>
</cp:coreProperties>
</file>